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ghia\Desktop\temp\blockchainHC\crmHuman\wwwroot\"/>
    </mc:Choice>
  </mc:AlternateContent>
  <xr:revisionPtr revIDLastSave="0" documentId="13_ncr:1_{F0F37D84-B1E6-4E5A-9C6C-E1B276ED92EB}" xr6:coauthVersionLast="47" xr6:coauthVersionMax="47" xr10:uidLastSave="{00000000-0000-0000-0000-000000000000}"/>
  <bookViews>
    <workbookView xWindow="-28920" yWindow="-75" windowWidth="29040" windowHeight="15840" xr2:uid="{A5976C23-0A68-4F09-B7ED-0CB0196A4811}"/>
  </bookViews>
  <sheets>
    <sheet name="NHÂN VIÊN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5" i="2" l="1"/>
  <c r="AJ4" i="2"/>
</calcChain>
</file>

<file path=xl/sharedStrings.xml><?xml version="1.0" encoding="utf-8"?>
<sst xmlns="http://schemas.openxmlformats.org/spreadsheetml/2006/main" count="433" uniqueCount="244">
  <si>
    <t>STT</t>
  </si>
  <si>
    <t>HỌ VÀ TÊN</t>
  </si>
  <si>
    <t>QUẢN LÝ TRỰC TIẾP</t>
  </si>
  <si>
    <t>CCCD</t>
  </si>
  <si>
    <t>ĐỊA CHỈ</t>
  </si>
  <si>
    <t>SĐT</t>
  </si>
  <si>
    <t>MÃ VÂN TAY</t>
  </si>
  <si>
    <t>NGÀY OB</t>
  </si>
  <si>
    <t xml:space="preserve">CHỨC VỤ </t>
  </si>
  <si>
    <t>BỘ PHẬN</t>
  </si>
  <si>
    <t>NGÀY SINH</t>
  </si>
  <si>
    <t>NƠI SINH</t>
  </si>
  <si>
    <t>ĐỊA CHỈ THƯỜNG TRÚ</t>
  </si>
  <si>
    <t>ĐỊA CHỈ TẠM TRÚ</t>
  </si>
  <si>
    <t>DÂN TỘC</t>
  </si>
  <si>
    <t>TÔN GIÁO</t>
  </si>
  <si>
    <t>TÌNH TRẠNG HÔN NHÂN</t>
  </si>
  <si>
    <t>TRÌNH ĐỘ HỌC VẤN</t>
  </si>
  <si>
    <t>NGÀY CẤP</t>
  </si>
  <si>
    <t>EMAIL NHÂN VIÊN</t>
  </si>
  <si>
    <t>EMAIL CÁ NHÂN</t>
  </si>
  <si>
    <t xml:space="preserve">SĐT </t>
  </si>
  <si>
    <t>THÔNG TIN CÁ NHÂN</t>
  </si>
  <si>
    <t>NGƯỜI THAM CHIẾU</t>
  </si>
  <si>
    <t>MỐI QUAN HỆ</t>
  </si>
  <si>
    <t>THÔNG TIN THANH TOÁN</t>
  </si>
  <si>
    <t>STK</t>
  </si>
  <si>
    <t>TÊN NGÂN HÀNG</t>
  </si>
  <si>
    <t>THUẾ</t>
  </si>
  <si>
    <t>MÃ SỐ THUẾ</t>
  </si>
  <si>
    <t>SỐ NGƯỜI PHỤ THUỘC</t>
  </si>
  <si>
    <t>LOẠI HĐ</t>
  </si>
  <si>
    <t>NGÀY BẮT ĐẦU</t>
  </si>
  <si>
    <t>NGÀY KẾT THÚC</t>
  </si>
  <si>
    <t>SỐ HĐ</t>
  </si>
  <si>
    <t>BHXH</t>
  </si>
  <si>
    <t>MÃ SỐ BHXH</t>
  </si>
  <si>
    <t>HỒ SƠ NHẬN VIỆC</t>
  </si>
  <si>
    <t>CCCD SAO Y</t>
  </si>
  <si>
    <t>SYLL</t>
  </si>
  <si>
    <t>ĐƠN XIN VIỆC</t>
  </si>
  <si>
    <t>SCAN</t>
  </si>
  <si>
    <t>NGÀY NGHỈ VIỆC</t>
  </si>
  <si>
    <t>THÔNG TIN HĐ</t>
  </si>
  <si>
    <t>HĐTV</t>
  </si>
  <si>
    <t>Tân Phú</t>
  </si>
  <si>
    <t>Anh</t>
  </si>
  <si>
    <t>Trần Ngọc Thảo</t>
  </si>
  <si>
    <t>Bùi Nguyễn Nhật Huỳnh</t>
  </si>
  <si>
    <t>Kế toán</t>
  </si>
  <si>
    <t>Nhân sự</t>
  </si>
  <si>
    <t>HCNS</t>
  </si>
  <si>
    <t>Tp.HCM</t>
  </si>
  <si>
    <t>13/11/1998</t>
  </si>
  <si>
    <t>Đồng Tháp</t>
  </si>
  <si>
    <t>GIỚI TÍNH</t>
  </si>
  <si>
    <t>Nữ</t>
  </si>
  <si>
    <t>079189000698</t>
  </si>
  <si>
    <t>087198012829</t>
  </si>
  <si>
    <t>13/11/2023</t>
  </si>
  <si>
    <t>63/12 Phan Văn Trị, Phường 14, Bình Thạnh, Hồ Chí Minh</t>
  </si>
  <si>
    <t>50 Trần Thị Mến, Tân Thuận Đông, TP.Cao Lãnh, Đồng Tháp</t>
  </si>
  <si>
    <t>622/14 Cộng Hòa, Phường 13, quận Tân Bình, Tp.Hồ Chí Minh</t>
  </si>
  <si>
    <t>Kinh</t>
  </si>
  <si>
    <t>Không</t>
  </si>
  <si>
    <t>Đã kết hôn</t>
  </si>
  <si>
    <t>Đại học</t>
  </si>
  <si>
    <t>thaotran0512.2016@gmail.com</t>
  </si>
  <si>
    <t>huynhbui158@gmail.com</t>
  </si>
  <si>
    <t>0902869421</t>
  </si>
  <si>
    <t>0772191153</t>
  </si>
  <si>
    <t>Mẹ</t>
  </si>
  <si>
    <t>Không xác định thời hạn</t>
  </si>
  <si>
    <t>HĐLĐ 36 tháng</t>
  </si>
  <si>
    <t>9812051989</t>
  </si>
  <si>
    <t>teckcombank</t>
  </si>
  <si>
    <t>7912352258</t>
  </si>
  <si>
    <t>8721768696</t>
  </si>
  <si>
    <t>02/2024</t>
  </si>
  <si>
    <t>THÁNG BẮT ĐẦU</t>
  </si>
  <si>
    <t>Nguyễn Thị Thanh Hương</t>
  </si>
  <si>
    <t>Nguyễn Thị Thu Dung</t>
  </si>
  <si>
    <t>Lê Thị Diễm Châu</t>
  </si>
  <si>
    <t>Trần Yến Phương</t>
  </si>
  <si>
    <t>Huỳnh Thị Hồng Thắm</t>
  </si>
  <si>
    <t>Huỳnh Thị Kim Bích</t>
  </si>
  <si>
    <t>Nguyễn Lâm Nhật Linh</t>
  </si>
  <si>
    <t>Bùi Thị Bích Yến</t>
  </si>
  <si>
    <t>Lê Thị Mai</t>
  </si>
  <si>
    <t>Lê Thị Trà My</t>
  </si>
  <si>
    <t>Bùi Thị Minh Tâm</t>
  </si>
  <si>
    <t>Võ Thị Hoàng Lam</t>
  </si>
  <si>
    <t>Nguyễn Thị Ngọc Muội</t>
  </si>
  <si>
    <t>09/06/2025</t>
  </si>
  <si>
    <t>01/10/2025</t>
  </si>
  <si>
    <t>10/11/2025</t>
  </si>
  <si>
    <t>17/11/2025</t>
  </si>
  <si>
    <t>02/12/2025</t>
  </si>
  <si>
    <t>15/12/2025</t>
  </si>
  <si>
    <t>17/12/2025</t>
  </si>
  <si>
    <t>18/12/2025</t>
  </si>
  <si>
    <t>Senior</t>
  </si>
  <si>
    <t>Nhân viên tuyển dụng</t>
  </si>
  <si>
    <t>TTS</t>
  </si>
  <si>
    <t>Tuyển dụng</t>
  </si>
  <si>
    <t>18/09/2003</t>
  </si>
  <si>
    <t>09/08/2003</t>
  </si>
  <si>
    <t>02/06/2003</t>
  </si>
  <si>
    <t>28/04/2003</t>
  </si>
  <si>
    <t>10/11/2002</t>
  </si>
  <si>
    <t>22/09/2004</t>
  </si>
  <si>
    <t>23/07/2005</t>
  </si>
  <si>
    <t>14/11/2004</t>
  </si>
  <si>
    <t>06/08/2002</t>
  </si>
  <si>
    <t>31/01/2004</t>
  </si>
  <si>
    <t>Lâm Đồng</t>
  </si>
  <si>
    <t>Bình Phước</t>
  </si>
  <si>
    <t>TP.HCM</t>
  </si>
  <si>
    <t>Khánh Hòa</t>
  </si>
  <si>
    <t>Bình Định</t>
  </si>
  <si>
    <t>Tây Ninh</t>
  </si>
  <si>
    <t>Đắk Lắk</t>
  </si>
  <si>
    <t>Bình Thuận</t>
  </si>
  <si>
    <t>Bến Tre</t>
  </si>
  <si>
    <t>Long An</t>
  </si>
  <si>
    <t>068198003104</t>
  </si>
  <si>
    <t>066196019114</t>
  </si>
  <si>
    <t>070300006786</t>
  </si>
  <si>
    <t>079303016136</t>
  </si>
  <si>
    <t>056303004617</t>
  </si>
  <si>
    <t>052303001138</t>
  </si>
  <si>
    <t>072303002773</t>
  </si>
  <si>
    <t>054302008885</t>
  </si>
  <si>
    <t>052304008113</t>
  </si>
  <si>
    <t>060305013564</t>
  </si>
  <si>
    <t>068304006170</t>
  </si>
  <si>
    <t>083302009100</t>
  </si>
  <si>
    <t>080304001684</t>
  </si>
  <si>
    <t>28/06/2022</t>
  </si>
  <si>
    <t>22/12/2021</t>
  </si>
  <si>
    <t>10/05/2021</t>
  </si>
  <si>
    <t>13/04/2021</t>
  </si>
  <si>
    <t>07/09/2022</t>
  </si>
  <si>
    <t>05/12/2021</t>
  </si>
  <si>
    <t>06/09/2021</t>
  </si>
  <si>
    <t>12/08/2021</t>
  </si>
  <si>
    <t>10/12/2022</t>
  </si>
  <si>
    <t>05/04/2021</t>
  </si>
  <si>
    <t>Số 6, Đường DT725, TT Lộc Thắng, Bảo Lâm, Lâm Đồng</t>
  </si>
  <si>
    <t>Số 3, Đường B2, Tây Thạnh, Tân Phú, Hồ Chí Minh</t>
  </si>
  <si>
    <t>Ấp 2, Lộc Thuận, Lộc Ninh, Bình Phước</t>
  </si>
  <si>
    <t>205A/10 Âu cơ, Phường 5, Quận 11, TP.HCM</t>
  </si>
  <si>
    <t>Quang Đông, Ninh Đông, Ninh Hòa, Khánh Hòa</t>
  </si>
  <si>
    <t>Thôn Lộc Khánh, xã Cát Hưng, huyện Phù Cát, Bình Định</t>
  </si>
  <si>
    <t>Tân Định 1, Suối Đá, Dương Minh Châu, Tây Ninh</t>
  </si>
  <si>
    <t>Thôn Xuân Mỹ, xã Hòa Mỹ, Đắk Lắk</t>
  </si>
  <si>
    <t>Lương Bình, Phước Thắng, Tuy Phước, Bình Định</t>
  </si>
  <si>
    <t>Thôn Minh Tiến, Hàm Minh, Hàm Thuận Nam, Bình Thuận</t>
  </si>
  <si>
    <t>Tổ 1, Thị trấn Lộc Thắng, Bảo Lâm, Lâm Đồng</t>
  </si>
  <si>
    <t>Ấp 4 Tam Hiệp, Bình Đại, Bến Tre</t>
  </si>
  <si>
    <t>Rượng Lưới, Vĩnh Thạnh, Tân Hưng, Long An</t>
  </si>
  <si>
    <t>Số 6, Hạnh Thông, Phường 3, Gò Vấp, Hồ Chí Minh</t>
  </si>
  <si>
    <t>29/16 Đường số 8, Linh Tây, Thủ Đức, Hồ Chí Minh</t>
  </si>
  <si>
    <t>B5/16B ấp 17, xã Vĩnh Lộc A, huyện Bình Chánh, TP.HCM</t>
  </si>
  <si>
    <t>137 Tùng Thiện Vương, Phường Phú Định, TP.HCM</t>
  </si>
  <si>
    <t>222 Đinh Bộ Lĩnh, Phường 28, quận Bình Thạnh, TP.HCM</t>
  </si>
  <si>
    <t>109D/36 Lạc Long Quân, Phường 3, Quận 11, TP.HCM</t>
  </si>
  <si>
    <t>số 41 Đường 36, Linh Đông, Thủ Đức, TP.HCM</t>
  </si>
  <si>
    <t>185 Phan Văn Hớn, phường Tân Thới Nhất, Quận 12, TP.HCM</t>
  </si>
  <si>
    <t>12/43/11D ấp 4, xã Đông Thạnh, huyện Hóc Môn, TP.HCM</t>
  </si>
  <si>
    <t>Nguyễn Cự Lượng, Gò Vấp, TP.HCM</t>
  </si>
  <si>
    <t>101/74 Tổ 1, KP1, phường Trưng Mỹ Tây, Quận 12, TP.HCM</t>
  </si>
  <si>
    <t>126/6 Năm Châu, phường Bảy Hiền, quận Tân Bình, TP.HCM</t>
  </si>
  <si>
    <t>Độc thân</t>
  </si>
  <si>
    <t>thanhhuong5329@gmail.com</t>
  </si>
  <si>
    <t>Dungmi178@gmail.com</t>
  </si>
  <si>
    <t>yenphuong445@gmail.com</t>
  </si>
  <si>
    <t>huynhtham090803@gmail.com</t>
  </si>
  <si>
    <t>bichhuynh448@gmail.com</t>
  </si>
  <si>
    <t>nguyenlamnhatlinh2003@gmail.com</t>
  </si>
  <si>
    <t>buithibichyen150@gmail.com</t>
  </si>
  <si>
    <t>maifat929@gmail.com</t>
  </si>
  <si>
    <t>lemy230705@gmail.com</t>
  </si>
  <si>
    <t>buithiminhtam.141104@gmail.com</t>
  </si>
  <si>
    <t>hnglmm0608@gmail.com</t>
  </si>
  <si>
    <t>ngocmuoinguyenthi2004@gmail.com</t>
  </si>
  <si>
    <t>huong.nguyen@vietstargroup.vn</t>
  </si>
  <si>
    <t>dung.nguyen@vietstargroup.vn</t>
  </si>
  <si>
    <t>chau.le@vietstargroup.vn</t>
  </si>
  <si>
    <t>0376 841 087</t>
  </si>
  <si>
    <t>0932 683 027</t>
  </si>
  <si>
    <t>0346 424 105</t>
  </si>
  <si>
    <t>0906094055</t>
  </si>
  <si>
    <t>0353731977</t>
  </si>
  <si>
    <t>0985034951</t>
  </si>
  <si>
    <t>0829568911</t>
  </si>
  <si>
    <t>0354966239</t>
  </si>
  <si>
    <t>0352835240</t>
  </si>
  <si>
    <t>0767582259</t>
  </si>
  <si>
    <t>0377041702</t>
  </si>
  <si>
    <t>0376748738</t>
  </si>
  <si>
    <t>0346878985</t>
  </si>
  <si>
    <t>Chị</t>
  </si>
  <si>
    <t>Em gái</t>
  </si>
  <si>
    <t>Cha</t>
  </si>
  <si>
    <t>0374694209</t>
  </si>
  <si>
    <t xml:space="preserve">094.532357 </t>
  </si>
  <si>
    <t>0764287412</t>
  </si>
  <si>
    <t>0932850460</t>
  </si>
  <si>
    <t>0865908201</t>
  </si>
  <si>
    <t xml:space="preserve">0329274372 </t>
  </si>
  <si>
    <t>0387532520</t>
  </si>
  <si>
    <t>0902346267</t>
  </si>
  <si>
    <t>0975417104</t>
  </si>
  <si>
    <t>0326047735</t>
  </si>
  <si>
    <t>0786617519</t>
  </si>
  <si>
    <t>HĐLĐ 12 tháng</t>
  </si>
  <si>
    <t>08/11/2025</t>
  </si>
  <si>
    <t>09/01/2026</t>
  </si>
  <si>
    <t>07/01/2026</t>
  </si>
  <si>
    <t>16/01/2026</t>
  </si>
  <si>
    <t>14/02/2026</t>
  </si>
  <si>
    <t>16/02/2026</t>
  </si>
  <si>
    <t>19036565656010</t>
  </si>
  <si>
    <t>1110091998</t>
  </si>
  <si>
    <t>1417081996</t>
  </si>
  <si>
    <t>19035728129017</t>
  </si>
  <si>
    <t>1815131198</t>
  </si>
  <si>
    <t>3353731977</t>
  </si>
  <si>
    <t>19075497305013</t>
  </si>
  <si>
    <t>3828040901</t>
  </si>
  <si>
    <t>19075485064010</t>
  </si>
  <si>
    <t>6822993492</t>
  </si>
  <si>
    <t>8016074294</t>
  </si>
  <si>
    <t>7021278317</t>
  </si>
  <si>
    <t>7932815241</t>
  </si>
  <si>
    <t>5620815427</t>
  </si>
  <si>
    <t>5221009401</t>
  </si>
  <si>
    <t>7222364503</t>
  </si>
  <si>
    <t>5420608827</t>
  </si>
  <si>
    <t xml:space="preserve"> 09/2020</t>
  </si>
  <si>
    <t>08/2021</t>
  </si>
  <si>
    <t>01/2022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</si>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</sst>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dd\/mm\/yyyy"/>
    <numFmt numFmtId="166" formatCode="_-* #,##0_-;\-* #,##0_-;_-* &quot;-&quot;??_-;_-@_-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u/>
      <sz val="12"/>
      <color theme="10"/>
      <name val="Times New Roman"/>
      <family val="1"/>
    </font>
    <font>
      <u/>
      <sz val="12"/>
      <color rgb="FF0563C1"/>
      <name val="Times New Roman"/>
      <family val="1"/>
    </font>
    <font>
      <sz val="11"/>
      <color rgb="FF000000"/>
      <name val="Times  New Roman"/>
    </font>
    <font>
      <sz val="1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1" fillId="5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0" fillId="0" borderId="1" xfId="0" quotePrefix="1" applyNumberFormat="1" applyBorder="1"/>
    <xf numFmtId="49" fontId="5" fillId="0" borderId="1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 wrapText="1" shrinkToFit="1"/>
    </xf>
    <xf numFmtId="49" fontId="0" fillId="0" borderId="1" xfId="0" quotePrefix="1" applyNumberFormat="1" applyBorder="1"/>
    <xf numFmtId="0" fontId="0" fillId="0" borderId="5" xfId="0" applyBorder="1" applyAlignment="1">
      <alignment horizontal="center"/>
    </xf>
    <xf numFmtId="0" fontId="0" fillId="0" borderId="5" xfId="0" quotePrefix="1" applyBorder="1"/>
    <xf numFmtId="0" fontId="0" fillId="0" borderId="5" xfId="0" applyBorder="1"/>
    <xf numFmtId="49" fontId="0" fillId="0" borderId="5" xfId="0" quotePrefix="1" applyNumberFormat="1" applyBorder="1"/>
    <xf numFmtId="0" fontId="4" fillId="0" borderId="9" xfId="0" applyFont="1" applyBorder="1" applyAlignment="1">
      <alignment horizontal="left" vertical="center"/>
    </xf>
    <xf numFmtId="0" fontId="4" fillId="12" borderId="9" xfId="0" applyFont="1" applyFill="1" applyBorder="1" applyAlignment="1">
      <alignment horizontal="left" vertical="center"/>
    </xf>
    <xf numFmtId="0" fontId="5" fillId="0" borderId="6" xfId="0" applyFont="1" applyBorder="1" applyAlignment="1">
      <alignment vertical="center"/>
    </xf>
    <xf numFmtId="14" fontId="4" fillId="12" borderId="9" xfId="0" applyNumberFormat="1" applyFont="1" applyFill="1" applyBorder="1" applyAlignment="1">
      <alignment horizontal="center" vertical="center"/>
    </xf>
    <xf numFmtId="0" fontId="5" fillId="0" borderId="6" xfId="0" quotePrefix="1" applyFont="1" applyBorder="1" applyAlignment="1">
      <alignment horizontal="center" vertical="center"/>
    </xf>
    <xf numFmtId="0" fontId="4" fillId="11" borderId="5" xfId="0" applyFont="1" applyFill="1" applyBorder="1" applyAlignment="1">
      <alignment horizontal="left" vertical="center" wrapText="1"/>
    </xf>
    <xf numFmtId="14" fontId="5" fillId="11" borderId="5" xfId="0" applyNumberFormat="1" applyFont="1" applyFill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 vertical="center"/>
    </xf>
    <xf numFmtId="165" fontId="4" fillId="12" borderId="10" xfId="0" applyNumberFormat="1" applyFont="1" applyFill="1" applyBorder="1" applyAlignment="1">
      <alignment horizontal="center" vertical="center" wrapText="1"/>
    </xf>
    <xf numFmtId="0" fontId="4" fillId="12" borderId="5" xfId="0" applyFont="1" applyFill="1" applyBorder="1" applyAlignment="1">
      <alignment horizontal="center" vertical="center" wrapText="1"/>
    </xf>
    <xf numFmtId="49" fontId="5" fillId="11" borderId="5" xfId="0" quotePrefix="1" applyNumberFormat="1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/>
    </xf>
    <xf numFmtId="0" fontId="7" fillId="11" borderId="5" xfId="1" applyFont="1" applyFill="1" applyBorder="1" applyAlignment="1">
      <alignment horizontal="left" vertical="center" wrapText="1"/>
    </xf>
    <xf numFmtId="49" fontId="5" fillId="11" borderId="5" xfId="0" quotePrefix="1" applyNumberFormat="1" applyFont="1" applyFill="1" applyBorder="1" applyAlignment="1">
      <alignment horizontal="center" vertical="center"/>
    </xf>
    <xf numFmtId="14" fontId="0" fillId="0" borderId="5" xfId="0" applyNumberFormat="1" applyBorder="1" applyAlignment="1">
      <alignment horizontal="left"/>
    </xf>
    <xf numFmtId="0" fontId="0" fillId="0" borderId="6" xfId="0" applyBorder="1"/>
    <xf numFmtId="49" fontId="5" fillId="0" borderId="1" xfId="0" applyNumberFormat="1" applyFont="1" applyBorder="1" applyAlignment="1">
      <alignment horizontal="left" vertical="center"/>
    </xf>
    <xf numFmtId="165" fontId="5" fillId="0" borderId="1" xfId="0" applyNumberFormat="1" applyFont="1" applyBorder="1" applyAlignment="1">
      <alignment horizontal="center" vertical="center" shrinkToFit="1"/>
    </xf>
    <xf numFmtId="165" fontId="4" fillId="0" borderId="1" xfId="0" quotePrefix="1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5" fillId="0" borderId="1" xfId="0" quotePrefix="1" applyNumberFormat="1" applyFont="1" applyBorder="1" applyAlignment="1">
      <alignment horizontal="center" vertical="center"/>
    </xf>
    <xf numFmtId="165" fontId="5" fillId="0" borderId="1" xfId="0" quotePrefix="1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left" vertical="center" wrapText="1" shrinkToFit="1"/>
    </xf>
    <xf numFmtId="49" fontId="2" fillId="0" borderId="1" xfId="1" applyNumberFormat="1" applyBorder="1" applyAlignment="1">
      <alignment horizontal="left" vertical="center" shrinkToFit="1"/>
    </xf>
    <xf numFmtId="0" fontId="4" fillId="0" borderId="9" xfId="0" applyFont="1" applyBorder="1" applyAlignment="1">
      <alignment horizontal="center" vertical="center"/>
    </xf>
    <xf numFmtId="0" fontId="4" fillId="12" borderId="9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5" fillId="12" borderId="9" xfId="0" applyNumberFormat="1" applyFont="1" applyFill="1" applyBorder="1" applyAlignment="1">
      <alignment horizontal="center" vertical="center"/>
    </xf>
    <xf numFmtId="14" fontId="5" fillId="0" borderId="6" xfId="0" quotePrefix="1" applyNumberFormat="1" applyFont="1" applyBorder="1" applyAlignment="1">
      <alignment horizontal="center" vertical="center"/>
    </xf>
    <xf numFmtId="0" fontId="5" fillId="12" borderId="11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49" fontId="4" fillId="12" borderId="9" xfId="0" applyNumberFormat="1" applyFont="1" applyFill="1" applyBorder="1" applyAlignment="1">
      <alignment horizontal="center" vertical="center"/>
    </xf>
    <xf numFmtId="49" fontId="4" fillId="12" borderId="9" xfId="0" quotePrefix="1" applyNumberFormat="1" applyFont="1" applyFill="1" applyBorder="1" applyAlignment="1">
      <alignment horizontal="center" vertical="center"/>
    </xf>
    <xf numFmtId="14" fontId="4" fillId="12" borderId="9" xfId="0" quotePrefix="1" applyNumberFormat="1" applyFont="1" applyFill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6" xfId="0" quotePrefix="1" applyFont="1" applyBorder="1" applyAlignment="1">
      <alignment vertical="center"/>
    </xf>
    <xf numFmtId="0" fontId="7" fillId="0" borderId="9" xfId="1" applyFont="1" applyBorder="1" applyAlignment="1">
      <alignment horizontal="left" vertical="center"/>
    </xf>
    <xf numFmtId="0" fontId="2" fillId="0" borderId="6" xfId="1" applyBorder="1" applyAlignment="1">
      <alignment vertical="center"/>
    </xf>
    <xf numFmtId="0" fontId="2" fillId="0" borderId="6" xfId="1" quotePrefix="1" applyBorder="1" applyAlignment="1">
      <alignment vertical="center"/>
    </xf>
    <xf numFmtId="49" fontId="5" fillId="12" borderId="9" xfId="0" applyNumberFormat="1" applyFont="1" applyFill="1" applyBorder="1" applyAlignment="1">
      <alignment horizontal="left" vertical="center"/>
    </xf>
    <xf numFmtId="49" fontId="8" fillId="12" borderId="9" xfId="0" applyNumberFormat="1" applyFont="1" applyFill="1" applyBorder="1" applyAlignment="1">
      <alignment horizontal="left" vertical="center"/>
    </xf>
    <xf numFmtId="0" fontId="4" fillId="12" borderId="1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166" fontId="9" fillId="0" borderId="13" xfId="2" applyNumberFormat="1" applyFont="1" applyFill="1" applyBorder="1" applyAlignment="1">
      <alignment horizontal="center" vertical="center"/>
    </xf>
    <xf numFmtId="49" fontId="10" fillId="0" borderId="1" xfId="0" quotePrefix="1" applyNumberFormat="1" applyFont="1" applyBorder="1" applyAlignment="1">
      <alignment horizontal="center" wrapText="1"/>
    </xf>
    <xf numFmtId="0" fontId="10" fillId="0" borderId="1" xfId="0" applyFont="1" applyBorder="1" applyAlignment="1">
      <alignment horizontal="center"/>
    </xf>
    <xf numFmtId="17" fontId="10" fillId="0" borderId="1" xfId="0" quotePrefix="1" applyNumberFormat="1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5" xfId="0" quotePrefix="1" applyBorder="1" applyAlignment="1">
      <alignment horizontal="center"/>
    </xf>
    <xf numFmtId="14" fontId="0" fillId="0" borderId="1" xfId="0" quotePrefix="1" applyNumberFormat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bichhuynh448@gmail.com" TargetMode="External"/><Relationship Id="rId13" Type="http://schemas.openxmlformats.org/officeDocument/2006/relationships/hyperlink" Target="mailto:hnglmm0608@gmail.com" TargetMode="External"/><Relationship Id="rId3" Type="http://schemas.openxmlformats.org/officeDocument/2006/relationships/hyperlink" Target="mailto:huynhbui158@gmail.com" TargetMode="External"/><Relationship Id="rId7" Type="http://schemas.openxmlformats.org/officeDocument/2006/relationships/hyperlink" Target="mailto:huynhtham090803@gmail.com" TargetMode="External"/><Relationship Id="rId12" Type="http://schemas.openxmlformats.org/officeDocument/2006/relationships/hyperlink" Target="mailto:maifat929@gmail.com" TargetMode="External"/><Relationship Id="rId2" Type="http://schemas.openxmlformats.org/officeDocument/2006/relationships/hyperlink" Target="mailto:huynhbui158@gmail.com" TargetMode="External"/><Relationship Id="rId16" Type="http://schemas.openxmlformats.org/officeDocument/2006/relationships/hyperlink" Target="mailto:chau.le@vietstargroup.vn" TargetMode="External"/><Relationship Id="rId1" Type="http://schemas.openxmlformats.org/officeDocument/2006/relationships/hyperlink" Target="mailto:thaotran0512.2016@gmail.com" TargetMode="External"/><Relationship Id="rId6" Type="http://schemas.openxmlformats.org/officeDocument/2006/relationships/hyperlink" Target="mailto:yenphuong445@gmail.com" TargetMode="External"/><Relationship Id="rId11" Type="http://schemas.openxmlformats.org/officeDocument/2006/relationships/hyperlink" Target="mailto:lemy230705@gmail.com" TargetMode="External"/><Relationship Id="rId5" Type="http://schemas.openxmlformats.org/officeDocument/2006/relationships/hyperlink" Target="mailto:Dungmi178@gmail.com" TargetMode="External"/><Relationship Id="rId15" Type="http://schemas.openxmlformats.org/officeDocument/2006/relationships/hyperlink" Target="mailto:ngocmuoinguyenthi2004@gmail.com" TargetMode="External"/><Relationship Id="rId10" Type="http://schemas.openxmlformats.org/officeDocument/2006/relationships/hyperlink" Target="mailto:buithibichyen150@gmail.com" TargetMode="External"/><Relationship Id="rId4" Type="http://schemas.openxmlformats.org/officeDocument/2006/relationships/hyperlink" Target="mailto:thanhhuong5329@gmail.com" TargetMode="External"/><Relationship Id="rId9" Type="http://schemas.openxmlformats.org/officeDocument/2006/relationships/hyperlink" Target="mailto:nguyenlamnhatlinh2003@gmail.com" TargetMode="External"/><Relationship Id="rId14" Type="http://schemas.openxmlformats.org/officeDocument/2006/relationships/hyperlink" Target="mailto:buithiminhtam.14110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D8B0C-4DFF-4075-A08C-CD7966EFF116}">
  <dimension ref="A2:AN30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17" sqref="F17"/>
    </sheetView>
  </sheetViews>
  <sheetFormatPr defaultRowHeight="15"/>
  <cols>
    <col min="2" max="2" width="15" customWidth="1"/>
    <col min="3" max="3" width="23.28515625" customWidth="1"/>
    <col min="4" max="4" width="16.7109375" customWidth="1"/>
    <col min="5" max="5" width="21.140625" customWidth="1"/>
    <col min="6" max="6" width="24" customWidth="1"/>
    <col min="7" max="7" width="12.7109375" customWidth="1"/>
    <col min="9" max="9" width="11.5703125" customWidth="1"/>
    <col min="10" max="10" width="13.5703125" customWidth="1"/>
    <col min="11" max="11" width="22.7109375" customWidth="1"/>
    <col min="12" max="12" width="16.42578125" customWidth="1"/>
    <col min="13" max="13" width="65.5703125" customWidth="1"/>
    <col min="14" max="14" width="59" customWidth="1"/>
    <col min="17" max="17" width="11.7109375" customWidth="1"/>
    <col min="19" max="19" width="31.7109375" customWidth="1"/>
    <col min="20" max="20" width="35.5703125" customWidth="1"/>
    <col min="21" max="21" width="21.5703125" customWidth="1"/>
    <col min="22" max="22" width="15.5703125" customWidth="1"/>
    <col min="23" max="23" width="20.5703125" customWidth="1"/>
    <col min="24" max="24" width="22.7109375" customWidth="1"/>
    <col min="26" max="26" width="18" customWidth="1"/>
    <col min="27" max="27" width="16.140625" customWidth="1"/>
    <col min="28" max="28" width="14.140625" customWidth="1"/>
    <col min="29" max="29" width="12.85546875" customWidth="1"/>
    <col min="30" max="30" width="22" customWidth="1"/>
    <col min="31" max="31" width="14.140625" customWidth="1"/>
    <col min="32" max="32" width="16.85546875" customWidth="1"/>
    <col min="33" max="33" width="18.42578125" customWidth="1"/>
    <col min="34" max="34" width="18.5703125" customWidth="1"/>
    <col min="35" max="35" width="20.85546875" customWidth="1"/>
    <col min="36" max="36" width="15.85546875" customWidth="1"/>
    <col min="37" max="37" width="13.5703125" style="73" customWidth="1"/>
    <col min="38" max="38" width="16.140625" customWidth="1"/>
    <col min="39" max="39" width="17.7109375" style="73" customWidth="1"/>
    <col min="40" max="40" width="21" customWidth="1"/>
  </cols>
  <sheetData>
    <row r="2" spans="1:40">
      <c r="A2" s="76" t="s">
        <v>0</v>
      </c>
      <c r="B2" s="76" t="s">
        <v>6</v>
      </c>
      <c r="C2" s="76" t="s">
        <v>1</v>
      </c>
      <c r="D2" s="76" t="s">
        <v>7</v>
      </c>
      <c r="E2" s="76" t="s">
        <v>8</v>
      </c>
      <c r="F2" s="76" t="s">
        <v>2</v>
      </c>
      <c r="G2" s="76" t="s">
        <v>9</v>
      </c>
      <c r="H2" s="92" t="s">
        <v>22</v>
      </c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  <c r="V2" s="82" t="s">
        <v>23</v>
      </c>
      <c r="W2" s="82"/>
      <c r="X2" s="82"/>
      <c r="Y2" s="82"/>
      <c r="Z2" s="77" t="s">
        <v>37</v>
      </c>
      <c r="AA2" s="78"/>
      <c r="AB2" s="78"/>
      <c r="AC2" s="79"/>
      <c r="AD2" s="87" t="s">
        <v>43</v>
      </c>
      <c r="AE2" s="88"/>
      <c r="AF2" s="88"/>
      <c r="AG2" s="89"/>
      <c r="AH2" s="83" t="s">
        <v>25</v>
      </c>
      <c r="AI2" s="84"/>
      <c r="AJ2" s="85" t="s">
        <v>28</v>
      </c>
      <c r="AK2" s="86"/>
      <c r="AL2" s="90" t="s">
        <v>35</v>
      </c>
      <c r="AM2" s="91"/>
      <c r="AN2" s="80" t="s">
        <v>42</v>
      </c>
    </row>
    <row r="3" spans="1:40" ht="30">
      <c r="A3" s="76"/>
      <c r="B3" s="76"/>
      <c r="C3" s="76"/>
      <c r="D3" s="76"/>
      <c r="E3" s="76"/>
      <c r="F3" s="76"/>
      <c r="G3" s="76"/>
      <c r="H3" s="11" t="s">
        <v>55</v>
      </c>
      <c r="I3" s="11" t="s">
        <v>10</v>
      </c>
      <c r="J3" s="12" t="s">
        <v>11</v>
      </c>
      <c r="K3" s="12" t="s">
        <v>3</v>
      </c>
      <c r="L3" s="12" t="s">
        <v>18</v>
      </c>
      <c r="M3" s="12" t="s">
        <v>12</v>
      </c>
      <c r="N3" s="12" t="s">
        <v>13</v>
      </c>
      <c r="O3" s="12" t="s">
        <v>14</v>
      </c>
      <c r="P3" s="12" t="s">
        <v>15</v>
      </c>
      <c r="Q3" s="12" t="s">
        <v>16</v>
      </c>
      <c r="R3" s="12" t="s">
        <v>17</v>
      </c>
      <c r="S3" s="12" t="s">
        <v>19</v>
      </c>
      <c r="T3" s="12" t="s">
        <v>20</v>
      </c>
      <c r="U3" s="12" t="s">
        <v>21</v>
      </c>
      <c r="V3" s="10" t="s">
        <v>1</v>
      </c>
      <c r="W3" s="10" t="s">
        <v>24</v>
      </c>
      <c r="X3" s="10" t="s">
        <v>5</v>
      </c>
      <c r="Y3" s="10" t="s">
        <v>4</v>
      </c>
      <c r="Z3" s="9" t="s">
        <v>38</v>
      </c>
      <c r="AA3" s="9" t="s">
        <v>39</v>
      </c>
      <c r="AB3" s="9" t="s">
        <v>40</v>
      </c>
      <c r="AC3" s="9" t="s">
        <v>41</v>
      </c>
      <c r="AD3" s="8" t="s">
        <v>31</v>
      </c>
      <c r="AE3" s="8" t="s">
        <v>34</v>
      </c>
      <c r="AF3" s="8" t="s">
        <v>32</v>
      </c>
      <c r="AG3" s="8" t="s">
        <v>33</v>
      </c>
      <c r="AH3" s="7" t="s">
        <v>26</v>
      </c>
      <c r="AI3" s="7" t="s">
        <v>27</v>
      </c>
      <c r="AJ3" s="6" t="s">
        <v>29</v>
      </c>
      <c r="AK3" s="72" t="s">
        <v>30</v>
      </c>
      <c r="AL3" s="4" t="s">
        <v>36</v>
      </c>
      <c r="AM3" s="5" t="s">
        <v>79</v>
      </c>
      <c r="AN3" s="81"/>
    </row>
    <row r="4" spans="1:40" ht="15.75" customHeight="1">
      <c r="A4" s="18">
        <v>1</v>
      </c>
      <c r="B4" s="19"/>
      <c r="C4" s="27" t="s">
        <v>47</v>
      </c>
      <c r="D4" s="28">
        <v>43962</v>
      </c>
      <c r="E4" s="29" t="s">
        <v>49</v>
      </c>
      <c r="F4" s="20"/>
      <c r="G4" s="20" t="s">
        <v>51</v>
      </c>
      <c r="H4" s="18" t="s">
        <v>56</v>
      </c>
      <c r="I4" s="30">
        <v>32640</v>
      </c>
      <c r="J4" s="31" t="s">
        <v>52</v>
      </c>
      <c r="K4" s="32" t="s">
        <v>57</v>
      </c>
      <c r="L4" s="28">
        <v>44556</v>
      </c>
      <c r="M4" s="33" t="s">
        <v>60</v>
      </c>
      <c r="N4" s="33" t="s">
        <v>60</v>
      </c>
      <c r="O4" s="20" t="s">
        <v>63</v>
      </c>
      <c r="P4" s="20" t="s">
        <v>64</v>
      </c>
      <c r="Q4" s="20" t="s">
        <v>65</v>
      </c>
      <c r="R4" s="20" t="s">
        <v>66</v>
      </c>
      <c r="S4" s="20"/>
      <c r="T4" s="34" t="s">
        <v>67</v>
      </c>
      <c r="U4" s="35" t="s">
        <v>69</v>
      </c>
      <c r="V4" s="20"/>
      <c r="W4" s="20"/>
      <c r="X4" s="67"/>
      <c r="Y4" s="20"/>
      <c r="Z4" s="18" t="s">
        <v>243</v>
      </c>
      <c r="AA4" s="18" t="s">
        <v>243</v>
      </c>
      <c r="AB4" s="18" t="s">
        <v>243</v>
      </c>
      <c r="AC4" s="20"/>
      <c r="AD4" s="20" t="s">
        <v>72</v>
      </c>
      <c r="AE4" s="20"/>
      <c r="AF4" s="36"/>
      <c r="AG4" s="19"/>
      <c r="AH4" s="19" t="s">
        <v>74</v>
      </c>
      <c r="AI4" s="20" t="s">
        <v>75</v>
      </c>
      <c r="AJ4" s="21" t="str">
        <f>K4</f>
        <v>079189000698</v>
      </c>
      <c r="AK4" s="18">
        <v>2</v>
      </c>
      <c r="AL4" s="19" t="s">
        <v>76</v>
      </c>
      <c r="AM4" s="74" t="s">
        <v>78</v>
      </c>
      <c r="AN4" s="19"/>
    </row>
    <row r="5" spans="1:40" s="1" customFormat="1" ht="16.5" customHeight="1">
      <c r="A5" s="2">
        <f>A4+1</f>
        <v>2</v>
      </c>
      <c r="B5" s="3"/>
      <c r="C5" s="38" t="s">
        <v>48</v>
      </c>
      <c r="D5" s="39">
        <v>45103</v>
      </c>
      <c r="E5" s="14" t="s">
        <v>50</v>
      </c>
      <c r="G5" s="1" t="s">
        <v>51</v>
      </c>
      <c r="H5" s="2" t="s">
        <v>56</v>
      </c>
      <c r="I5" s="40" t="s">
        <v>53</v>
      </c>
      <c r="J5" s="41" t="s">
        <v>54</v>
      </c>
      <c r="K5" s="42" t="s">
        <v>58</v>
      </c>
      <c r="L5" s="43" t="s">
        <v>59</v>
      </c>
      <c r="M5" s="44" t="s">
        <v>61</v>
      </c>
      <c r="N5" s="16" t="s">
        <v>62</v>
      </c>
      <c r="O5" s="1" t="s">
        <v>63</v>
      </c>
      <c r="P5" s="1" t="s">
        <v>64</v>
      </c>
      <c r="Q5" s="1" t="s">
        <v>173</v>
      </c>
      <c r="R5" s="1" t="s">
        <v>66</v>
      </c>
      <c r="T5" s="45" t="s">
        <v>68</v>
      </c>
      <c r="U5" s="42" t="s">
        <v>70</v>
      </c>
      <c r="X5" s="66"/>
      <c r="Z5" s="18" t="s">
        <v>243</v>
      </c>
      <c r="AA5" s="18" t="s">
        <v>243</v>
      </c>
      <c r="AB5" s="18" t="s">
        <v>243</v>
      </c>
      <c r="AD5" s="1" t="s">
        <v>73</v>
      </c>
      <c r="AF5" s="3"/>
      <c r="AG5" s="13"/>
      <c r="AH5" s="3" t="s">
        <v>227</v>
      </c>
      <c r="AI5" s="20" t="s">
        <v>75</v>
      </c>
      <c r="AJ5" s="17" t="str">
        <f>K5</f>
        <v>087198012829</v>
      </c>
      <c r="AK5" s="2">
        <v>0</v>
      </c>
      <c r="AL5" s="3" t="s">
        <v>77</v>
      </c>
      <c r="AM5" s="75" t="s">
        <v>78</v>
      </c>
      <c r="AN5" s="3"/>
    </row>
    <row r="6" spans="1:40" s="37" customFormat="1" ht="15.75">
      <c r="A6" s="2">
        <f t="shared" ref="A6:A18" si="0">A5+1</f>
        <v>3</v>
      </c>
      <c r="C6" s="22" t="s">
        <v>80</v>
      </c>
      <c r="D6" s="25">
        <v>43962</v>
      </c>
      <c r="E6" s="46" t="s">
        <v>101</v>
      </c>
      <c r="G6" s="49" t="s">
        <v>104</v>
      </c>
      <c r="H6" s="2" t="s">
        <v>56</v>
      </c>
      <c r="I6" s="51">
        <v>36049</v>
      </c>
      <c r="J6" s="53" t="s">
        <v>115</v>
      </c>
      <c r="K6" s="55" t="s">
        <v>125</v>
      </c>
      <c r="L6" s="25">
        <v>44888</v>
      </c>
      <c r="M6" s="15" t="s">
        <v>148</v>
      </c>
      <c r="N6" s="15" t="s">
        <v>161</v>
      </c>
      <c r="O6" s="1" t="s">
        <v>63</v>
      </c>
      <c r="P6" s="1" t="s">
        <v>64</v>
      </c>
      <c r="Q6" s="1" t="s">
        <v>173</v>
      </c>
      <c r="R6" s="1" t="s">
        <v>66</v>
      </c>
      <c r="S6" s="63" t="s">
        <v>186</v>
      </c>
      <c r="T6" s="60" t="s">
        <v>174</v>
      </c>
      <c r="U6" s="65" t="s">
        <v>189</v>
      </c>
      <c r="W6" s="20" t="s">
        <v>202</v>
      </c>
      <c r="X6" s="67" t="s">
        <v>205</v>
      </c>
      <c r="Z6" s="18" t="s">
        <v>243</v>
      </c>
      <c r="AA6" s="18" t="s">
        <v>243</v>
      </c>
      <c r="AB6" s="18" t="s">
        <v>243</v>
      </c>
      <c r="AD6" s="20" t="s">
        <v>72</v>
      </c>
      <c r="AH6" s="68" t="s">
        <v>223</v>
      </c>
      <c r="AI6" s="20" t="s">
        <v>75</v>
      </c>
      <c r="AJ6" s="17" t="str">
        <f t="shared" ref="AJ6:AJ17" si="1">K6</f>
        <v>068198003104</v>
      </c>
      <c r="AK6" s="2">
        <v>0</v>
      </c>
      <c r="AL6" s="69" t="s">
        <v>232</v>
      </c>
      <c r="AM6" s="70" t="s">
        <v>240</v>
      </c>
    </row>
    <row r="7" spans="1:40" s="1" customFormat="1" ht="15.75">
      <c r="A7" s="2">
        <f t="shared" si="0"/>
        <v>4</v>
      </c>
      <c r="C7" s="23" t="s">
        <v>81</v>
      </c>
      <c r="D7" s="25">
        <v>44259</v>
      </c>
      <c r="E7" s="46" t="s">
        <v>101</v>
      </c>
      <c r="G7" s="46" t="s">
        <v>104</v>
      </c>
      <c r="H7" s="2" t="s">
        <v>56</v>
      </c>
      <c r="I7" s="51">
        <v>35294</v>
      </c>
      <c r="J7" s="53" t="s">
        <v>45</v>
      </c>
      <c r="K7" s="56" t="s">
        <v>126</v>
      </c>
      <c r="L7" s="25">
        <v>44375</v>
      </c>
      <c r="M7" s="15" t="s">
        <v>149</v>
      </c>
      <c r="N7" s="15" t="s">
        <v>149</v>
      </c>
      <c r="O7" s="1" t="s">
        <v>63</v>
      </c>
      <c r="P7" s="1" t="s">
        <v>64</v>
      </c>
      <c r="Q7" s="1" t="s">
        <v>173</v>
      </c>
      <c r="R7" s="1" t="s">
        <v>66</v>
      </c>
      <c r="S7" s="63" t="s">
        <v>187</v>
      </c>
      <c r="T7" s="60" t="s">
        <v>175</v>
      </c>
      <c r="U7" s="65" t="s">
        <v>190</v>
      </c>
      <c r="W7" s="1" t="s">
        <v>203</v>
      </c>
      <c r="X7" s="67" t="s">
        <v>206</v>
      </c>
      <c r="Z7" s="18" t="s">
        <v>243</v>
      </c>
      <c r="AA7" s="18" t="s">
        <v>243</v>
      </c>
      <c r="AB7" s="18" t="s">
        <v>243</v>
      </c>
      <c r="AD7" s="20" t="s">
        <v>72</v>
      </c>
      <c r="AH7" s="68" t="s">
        <v>224</v>
      </c>
      <c r="AI7" s="20" t="s">
        <v>75</v>
      </c>
      <c r="AJ7" s="17" t="str">
        <f t="shared" si="1"/>
        <v>066196019114</v>
      </c>
      <c r="AK7" s="2">
        <v>0</v>
      </c>
      <c r="AL7" s="69" t="s">
        <v>233</v>
      </c>
      <c r="AM7" s="71" t="s">
        <v>241</v>
      </c>
    </row>
    <row r="8" spans="1:40" s="1" customFormat="1" ht="15.75">
      <c r="A8" s="2">
        <f t="shared" si="0"/>
        <v>5</v>
      </c>
      <c r="C8" s="23" t="s">
        <v>82</v>
      </c>
      <c r="D8" s="25">
        <v>44298</v>
      </c>
      <c r="E8" s="47" t="s">
        <v>102</v>
      </c>
      <c r="F8" s="23" t="s">
        <v>81</v>
      </c>
      <c r="G8" s="46" t="s">
        <v>104</v>
      </c>
      <c r="H8" s="2" t="s">
        <v>56</v>
      </c>
      <c r="I8" s="51">
        <v>36869</v>
      </c>
      <c r="J8" s="53" t="s">
        <v>116</v>
      </c>
      <c r="K8" s="56" t="s">
        <v>127</v>
      </c>
      <c r="L8" s="57" t="s">
        <v>138</v>
      </c>
      <c r="M8" s="15" t="s">
        <v>150</v>
      </c>
      <c r="N8" s="15" t="s">
        <v>162</v>
      </c>
      <c r="O8" s="1" t="s">
        <v>63</v>
      </c>
      <c r="P8" s="1" t="s">
        <v>64</v>
      </c>
      <c r="Q8" s="1" t="s">
        <v>173</v>
      </c>
      <c r="R8" s="1" t="s">
        <v>66</v>
      </c>
      <c r="S8" s="64" t="s">
        <v>188</v>
      </c>
      <c r="T8" s="22"/>
      <c r="U8" s="65" t="s">
        <v>191</v>
      </c>
      <c r="W8" s="37"/>
      <c r="X8" s="66"/>
      <c r="Z8" s="18" t="s">
        <v>243</v>
      </c>
      <c r="AA8" s="18" t="s">
        <v>243</v>
      </c>
      <c r="AB8" s="18" t="s">
        <v>243</v>
      </c>
      <c r="AD8" s="1" t="s">
        <v>73</v>
      </c>
      <c r="AH8" s="68" t="s">
        <v>225</v>
      </c>
      <c r="AI8" s="20" t="s">
        <v>75</v>
      </c>
      <c r="AJ8" s="17" t="str">
        <f t="shared" si="1"/>
        <v>070300006786</v>
      </c>
      <c r="AK8" s="2">
        <v>0</v>
      </c>
      <c r="AL8" s="69" t="s">
        <v>234</v>
      </c>
      <c r="AM8" s="71" t="s">
        <v>242</v>
      </c>
    </row>
    <row r="9" spans="1:40" s="1" customFormat="1" ht="15.75">
      <c r="A9" s="2">
        <f t="shared" si="0"/>
        <v>6</v>
      </c>
      <c r="C9" s="24" t="s">
        <v>83</v>
      </c>
      <c r="D9" s="26" t="s">
        <v>93</v>
      </c>
      <c r="E9" s="48" t="s">
        <v>102</v>
      </c>
      <c r="F9" s="23" t="s">
        <v>81</v>
      </c>
      <c r="G9" s="50" t="s">
        <v>104</v>
      </c>
      <c r="H9" s="2" t="s">
        <v>56</v>
      </c>
      <c r="I9" s="52" t="s">
        <v>105</v>
      </c>
      <c r="J9" s="54" t="s">
        <v>117</v>
      </c>
      <c r="K9" s="26" t="s">
        <v>128</v>
      </c>
      <c r="L9" s="52" t="s">
        <v>139</v>
      </c>
      <c r="M9" s="58" t="s">
        <v>151</v>
      </c>
      <c r="N9" s="24" t="s">
        <v>163</v>
      </c>
      <c r="O9" s="1" t="s">
        <v>63</v>
      </c>
      <c r="P9" s="1" t="s">
        <v>64</v>
      </c>
      <c r="Q9" s="1" t="s">
        <v>173</v>
      </c>
      <c r="R9" s="1" t="s">
        <v>66</v>
      </c>
      <c r="S9" s="24"/>
      <c r="T9" s="61" t="s">
        <v>176</v>
      </c>
      <c r="U9" s="26" t="s">
        <v>192</v>
      </c>
      <c r="W9" s="1" t="s">
        <v>204</v>
      </c>
      <c r="X9" s="26" t="s">
        <v>207</v>
      </c>
      <c r="Z9" s="18" t="s">
        <v>243</v>
      </c>
      <c r="AA9" s="18" t="s">
        <v>243</v>
      </c>
      <c r="AB9" s="18" t="s">
        <v>243</v>
      </c>
      <c r="AD9" s="1" t="s">
        <v>216</v>
      </c>
      <c r="AH9" s="68" t="s">
        <v>226</v>
      </c>
      <c r="AI9" s="20" t="s">
        <v>75</v>
      </c>
      <c r="AJ9" s="17" t="str">
        <f t="shared" si="1"/>
        <v>079303016136</v>
      </c>
      <c r="AK9" s="2">
        <v>0</v>
      </c>
      <c r="AL9" s="69" t="s">
        <v>235</v>
      </c>
      <c r="AM9" s="2"/>
    </row>
    <row r="10" spans="1:40" s="1" customFormat="1" ht="15.75">
      <c r="A10" s="2">
        <f t="shared" si="0"/>
        <v>7</v>
      </c>
      <c r="C10" s="24" t="s">
        <v>84</v>
      </c>
      <c r="D10" s="26" t="s">
        <v>94</v>
      </c>
      <c r="E10" s="48" t="s">
        <v>102</v>
      </c>
      <c r="F10" s="22" t="s">
        <v>80</v>
      </c>
      <c r="G10" s="50" t="s">
        <v>104</v>
      </c>
      <c r="H10" s="2" t="s">
        <v>56</v>
      </c>
      <c r="I10" s="52" t="s">
        <v>106</v>
      </c>
      <c r="J10" s="54" t="s">
        <v>118</v>
      </c>
      <c r="K10" s="26" t="s">
        <v>129</v>
      </c>
      <c r="L10" s="52" t="s">
        <v>140</v>
      </c>
      <c r="M10" s="58" t="s">
        <v>152</v>
      </c>
      <c r="N10" s="24" t="s">
        <v>164</v>
      </c>
      <c r="O10" s="1" t="s">
        <v>63</v>
      </c>
      <c r="P10" s="1" t="s">
        <v>64</v>
      </c>
      <c r="Q10" s="1" t="s">
        <v>173</v>
      </c>
      <c r="R10" s="1" t="s">
        <v>66</v>
      </c>
      <c r="T10" s="62" t="s">
        <v>177</v>
      </c>
      <c r="U10" s="26" t="s">
        <v>193</v>
      </c>
      <c r="W10" s="1" t="s">
        <v>202</v>
      </c>
      <c r="X10" s="26" t="s">
        <v>208</v>
      </c>
      <c r="Z10" s="18" t="s">
        <v>243</v>
      </c>
      <c r="AA10" s="18" t="s">
        <v>243</v>
      </c>
      <c r="AB10" s="18" t="s">
        <v>243</v>
      </c>
      <c r="AD10" s="1" t="s">
        <v>44</v>
      </c>
      <c r="AF10" s="3" t="s">
        <v>217</v>
      </c>
      <c r="AG10" s="3" t="s">
        <v>219</v>
      </c>
      <c r="AH10" s="26" t="s">
        <v>228</v>
      </c>
      <c r="AI10" s="20" t="s">
        <v>75</v>
      </c>
      <c r="AJ10" s="17" t="str">
        <f t="shared" si="1"/>
        <v>056303004617</v>
      </c>
      <c r="AK10" s="2">
        <v>0</v>
      </c>
      <c r="AL10" s="69" t="s">
        <v>236</v>
      </c>
      <c r="AM10" s="2"/>
    </row>
    <row r="11" spans="1:40" s="1" customFormat="1" ht="15.75">
      <c r="A11" s="2">
        <f t="shared" si="0"/>
        <v>8</v>
      </c>
      <c r="C11" s="24" t="s">
        <v>85</v>
      </c>
      <c r="D11" s="26" t="s">
        <v>95</v>
      </c>
      <c r="E11" s="48" t="s">
        <v>102</v>
      </c>
      <c r="F11" s="22" t="s">
        <v>80</v>
      </c>
      <c r="G11" s="50" t="s">
        <v>104</v>
      </c>
      <c r="H11" s="2" t="s">
        <v>56</v>
      </c>
      <c r="I11" s="52" t="s">
        <v>107</v>
      </c>
      <c r="J11" s="54" t="s">
        <v>119</v>
      </c>
      <c r="K11" s="26" t="s">
        <v>130</v>
      </c>
      <c r="L11" s="52" t="s">
        <v>141</v>
      </c>
      <c r="M11" s="58" t="s">
        <v>153</v>
      </c>
      <c r="N11" s="24" t="s">
        <v>165</v>
      </c>
      <c r="O11" s="1" t="s">
        <v>63</v>
      </c>
      <c r="P11" s="1" t="s">
        <v>64</v>
      </c>
      <c r="Q11" s="1" t="s">
        <v>173</v>
      </c>
      <c r="R11" s="1" t="s">
        <v>66</v>
      </c>
      <c r="T11" s="62" t="s">
        <v>178</v>
      </c>
      <c r="U11" s="26" t="s">
        <v>194</v>
      </c>
      <c r="W11" s="1" t="s">
        <v>203</v>
      </c>
      <c r="X11" s="26" t="s">
        <v>209</v>
      </c>
      <c r="Z11" s="18" t="s">
        <v>243</v>
      </c>
      <c r="AA11" s="18" t="s">
        <v>243</v>
      </c>
      <c r="AB11" s="18" t="s">
        <v>243</v>
      </c>
      <c r="AD11" s="1" t="s">
        <v>44</v>
      </c>
      <c r="AF11" s="26" t="s">
        <v>95</v>
      </c>
      <c r="AG11" s="3" t="s">
        <v>218</v>
      </c>
      <c r="AH11" s="26" t="s">
        <v>229</v>
      </c>
      <c r="AI11" s="20" t="s">
        <v>75</v>
      </c>
      <c r="AJ11" s="17" t="str">
        <f t="shared" si="1"/>
        <v>052303001138</v>
      </c>
      <c r="AK11" s="2">
        <v>0</v>
      </c>
      <c r="AL11" s="69" t="s">
        <v>237</v>
      </c>
      <c r="AM11" s="2"/>
    </row>
    <row r="12" spans="1:40" s="1" customFormat="1" ht="15.75">
      <c r="A12" s="2">
        <f t="shared" si="0"/>
        <v>9</v>
      </c>
      <c r="C12" s="24" t="s">
        <v>86</v>
      </c>
      <c r="D12" s="26" t="s">
        <v>95</v>
      </c>
      <c r="E12" s="48" t="s">
        <v>102</v>
      </c>
      <c r="F12" s="22" t="s">
        <v>80</v>
      </c>
      <c r="G12" s="50" t="s">
        <v>104</v>
      </c>
      <c r="H12" s="2" t="s">
        <v>56</v>
      </c>
      <c r="I12" s="52" t="s">
        <v>108</v>
      </c>
      <c r="J12" s="54" t="s">
        <v>120</v>
      </c>
      <c r="K12" s="26" t="s">
        <v>131</v>
      </c>
      <c r="L12" s="52" t="s">
        <v>142</v>
      </c>
      <c r="M12" s="58" t="s">
        <v>154</v>
      </c>
      <c r="N12" s="59" t="s">
        <v>166</v>
      </c>
      <c r="O12" s="1" t="s">
        <v>63</v>
      </c>
      <c r="P12" s="1" t="s">
        <v>64</v>
      </c>
      <c r="Q12" s="1" t="s">
        <v>173</v>
      </c>
      <c r="R12" s="1" t="s">
        <v>66</v>
      </c>
      <c r="T12" s="62" t="s">
        <v>179</v>
      </c>
      <c r="U12" s="26" t="s">
        <v>195</v>
      </c>
      <c r="X12" s="26"/>
      <c r="Z12" s="18" t="s">
        <v>243</v>
      </c>
      <c r="AA12" s="18" t="s">
        <v>243</v>
      </c>
      <c r="AB12" s="18" t="s">
        <v>243</v>
      </c>
      <c r="AD12" s="1" t="s">
        <v>44</v>
      </c>
      <c r="AF12" s="26" t="s">
        <v>95</v>
      </c>
      <c r="AG12" s="3" t="s">
        <v>218</v>
      </c>
      <c r="AH12" s="26" t="s">
        <v>230</v>
      </c>
      <c r="AI12" s="20" t="s">
        <v>75</v>
      </c>
      <c r="AJ12" s="17" t="str">
        <f t="shared" si="1"/>
        <v>072303002773</v>
      </c>
      <c r="AK12" s="2">
        <v>0</v>
      </c>
      <c r="AL12" s="69" t="s">
        <v>238</v>
      </c>
      <c r="AM12" s="2"/>
    </row>
    <row r="13" spans="1:40" s="1" customFormat="1" ht="15.75">
      <c r="A13" s="2">
        <f t="shared" si="0"/>
        <v>10</v>
      </c>
      <c r="C13" s="24" t="s">
        <v>87</v>
      </c>
      <c r="D13" s="26" t="s">
        <v>96</v>
      </c>
      <c r="E13" s="48" t="s">
        <v>102</v>
      </c>
      <c r="F13" s="22" t="s">
        <v>80</v>
      </c>
      <c r="G13" s="50" t="s">
        <v>104</v>
      </c>
      <c r="H13" s="2" t="s">
        <v>56</v>
      </c>
      <c r="I13" s="52" t="s">
        <v>109</v>
      </c>
      <c r="J13" s="54" t="s">
        <v>121</v>
      </c>
      <c r="K13" s="26" t="s">
        <v>132</v>
      </c>
      <c r="L13" s="52" t="s">
        <v>143</v>
      </c>
      <c r="M13" s="58" t="s">
        <v>155</v>
      </c>
      <c r="N13" s="24" t="s">
        <v>167</v>
      </c>
      <c r="O13" s="1" t="s">
        <v>63</v>
      </c>
      <c r="P13" s="1" t="s">
        <v>64</v>
      </c>
      <c r="Q13" s="1" t="s">
        <v>173</v>
      </c>
      <c r="R13" s="1" t="s">
        <v>66</v>
      </c>
      <c r="T13" s="62" t="s">
        <v>180</v>
      </c>
      <c r="U13" s="26" t="s">
        <v>196</v>
      </c>
      <c r="W13" s="1" t="s">
        <v>202</v>
      </c>
      <c r="X13" s="26" t="s">
        <v>210</v>
      </c>
      <c r="Z13" s="18" t="s">
        <v>243</v>
      </c>
      <c r="AA13" s="18" t="s">
        <v>243</v>
      </c>
      <c r="AB13" s="18" t="s">
        <v>243</v>
      </c>
      <c r="AD13" s="1" t="s">
        <v>44</v>
      </c>
      <c r="AF13" s="26" t="s">
        <v>96</v>
      </c>
      <c r="AG13" s="3" t="s">
        <v>220</v>
      </c>
      <c r="AH13" s="26" t="s">
        <v>231</v>
      </c>
      <c r="AI13" s="20" t="s">
        <v>75</v>
      </c>
      <c r="AJ13" s="17" t="str">
        <f t="shared" si="1"/>
        <v>054302008885</v>
      </c>
      <c r="AK13" s="2">
        <v>0</v>
      </c>
      <c r="AL13" s="69" t="s">
        <v>239</v>
      </c>
      <c r="AM13" s="2"/>
    </row>
    <row r="14" spans="1:40" s="1" customFormat="1" ht="15.75">
      <c r="A14" s="2">
        <f t="shared" si="0"/>
        <v>11</v>
      </c>
      <c r="C14" s="24" t="s">
        <v>88</v>
      </c>
      <c r="D14" s="26" t="s">
        <v>97</v>
      </c>
      <c r="E14" s="48" t="s">
        <v>103</v>
      </c>
      <c r="F14" s="24" t="s">
        <v>83</v>
      </c>
      <c r="G14" s="50" t="s">
        <v>104</v>
      </c>
      <c r="H14" s="2" t="s">
        <v>56</v>
      </c>
      <c r="I14" s="52" t="s">
        <v>110</v>
      </c>
      <c r="J14" s="54" t="s">
        <v>119</v>
      </c>
      <c r="K14" s="26" t="s">
        <v>133</v>
      </c>
      <c r="L14" s="52" t="s">
        <v>140</v>
      </c>
      <c r="M14" s="58" t="s">
        <v>156</v>
      </c>
      <c r="N14" s="24" t="s">
        <v>168</v>
      </c>
      <c r="O14" s="1" t="s">
        <v>63</v>
      </c>
      <c r="P14" s="1" t="s">
        <v>64</v>
      </c>
      <c r="Q14" s="1" t="s">
        <v>173</v>
      </c>
      <c r="R14" s="1" t="s">
        <v>66</v>
      </c>
      <c r="T14" s="62" t="s">
        <v>181</v>
      </c>
      <c r="U14" s="26" t="s">
        <v>197</v>
      </c>
      <c r="W14" s="1" t="s">
        <v>202</v>
      </c>
      <c r="X14" s="26" t="s">
        <v>211</v>
      </c>
      <c r="Z14" s="18" t="s">
        <v>243</v>
      </c>
      <c r="AA14" s="18" t="s">
        <v>243</v>
      </c>
      <c r="AB14" s="18" t="s">
        <v>243</v>
      </c>
      <c r="AH14" s="26"/>
      <c r="AI14" s="20" t="s">
        <v>75</v>
      </c>
      <c r="AJ14" s="17" t="str">
        <f t="shared" si="1"/>
        <v>052304008113</v>
      </c>
      <c r="AK14" s="2">
        <v>0</v>
      </c>
      <c r="AM14" s="2"/>
    </row>
    <row r="15" spans="1:40" s="1" customFormat="1" ht="15.75">
      <c r="A15" s="2">
        <f t="shared" si="0"/>
        <v>12</v>
      </c>
      <c r="C15" s="24" t="s">
        <v>89</v>
      </c>
      <c r="D15" s="26" t="s">
        <v>97</v>
      </c>
      <c r="E15" s="48" t="s">
        <v>103</v>
      </c>
      <c r="F15" s="24" t="s">
        <v>83</v>
      </c>
      <c r="G15" s="50" t="s">
        <v>104</v>
      </c>
      <c r="H15" s="2" t="s">
        <v>56</v>
      </c>
      <c r="I15" s="52" t="s">
        <v>111</v>
      </c>
      <c r="J15" s="54" t="s">
        <v>122</v>
      </c>
      <c r="K15" s="26" t="s">
        <v>134</v>
      </c>
      <c r="L15" s="52" t="s">
        <v>144</v>
      </c>
      <c r="M15" s="58" t="s">
        <v>157</v>
      </c>
      <c r="N15" s="59" t="s">
        <v>169</v>
      </c>
      <c r="O15" s="1" t="s">
        <v>63</v>
      </c>
      <c r="P15" s="1" t="s">
        <v>64</v>
      </c>
      <c r="Q15" s="1" t="s">
        <v>173</v>
      </c>
      <c r="R15" s="1" t="s">
        <v>66</v>
      </c>
      <c r="T15" s="62" t="s">
        <v>182</v>
      </c>
      <c r="U15" s="26" t="s">
        <v>198</v>
      </c>
      <c r="W15" s="1" t="s">
        <v>202</v>
      </c>
      <c r="X15" s="26" t="s">
        <v>212</v>
      </c>
      <c r="Z15" s="18" t="s">
        <v>243</v>
      </c>
      <c r="AA15" s="18" t="s">
        <v>243</v>
      </c>
      <c r="AB15" s="18" t="s">
        <v>243</v>
      </c>
      <c r="AI15" s="20" t="s">
        <v>75</v>
      </c>
      <c r="AJ15" s="17" t="str">
        <f t="shared" si="1"/>
        <v>060305013564</v>
      </c>
      <c r="AK15" s="2">
        <v>0</v>
      </c>
      <c r="AM15" s="2"/>
    </row>
    <row r="16" spans="1:40" s="1" customFormat="1" ht="15.75">
      <c r="A16" s="2">
        <f t="shared" si="0"/>
        <v>13</v>
      </c>
      <c r="C16" s="24" t="s">
        <v>90</v>
      </c>
      <c r="D16" s="26" t="s">
        <v>98</v>
      </c>
      <c r="E16" s="48" t="s">
        <v>102</v>
      </c>
      <c r="F16" s="23" t="s">
        <v>81</v>
      </c>
      <c r="G16" s="50" t="s">
        <v>104</v>
      </c>
      <c r="H16" s="2" t="s">
        <v>56</v>
      </c>
      <c r="I16" s="52" t="s">
        <v>112</v>
      </c>
      <c r="J16" s="54" t="s">
        <v>115</v>
      </c>
      <c r="K16" s="26" t="s">
        <v>135</v>
      </c>
      <c r="L16" s="52" t="s">
        <v>145</v>
      </c>
      <c r="M16" s="58" t="s">
        <v>158</v>
      </c>
      <c r="N16" s="24" t="s">
        <v>170</v>
      </c>
      <c r="O16" s="1" t="s">
        <v>63</v>
      </c>
      <c r="P16" s="1" t="s">
        <v>64</v>
      </c>
      <c r="Q16" s="1" t="s">
        <v>173</v>
      </c>
      <c r="R16" s="1" t="s">
        <v>66</v>
      </c>
      <c r="T16" s="62" t="s">
        <v>183</v>
      </c>
      <c r="U16" s="26" t="s">
        <v>199</v>
      </c>
      <c r="W16" s="1" t="s">
        <v>71</v>
      </c>
      <c r="X16" s="26" t="s">
        <v>213</v>
      </c>
      <c r="Z16" s="18" t="s">
        <v>243</v>
      </c>
      <c r="AA16" s="18" t="s">
        <v>243</v>
      </c>
      <c r="AB16" s="18" t="s">
        <v>243</v>
      </c>
      <c r="AD16" s="1" t="s">
        <v>44</v>
      </c>
      <c r="AF16" s="26" t="s">
        <v>98</v>
      </c>
      <c r="AG16" s="3" t="s">
        <v>221</v>
      </c>
      <c r="AI16" s="20" t="s">
        <v>75</v>
      </c>
      <c r="AJ16" s="17" t="str">
        <f t="shared" si="1"/>
        <v>068304006170</v>
      </c>
      <c r="AK16" s="2">
        <v>0</v>
      </c>
      <c r="AM16" s="2"/>
    </row>
    <row r="17" spans="1:39" s="1" customFormat="1" ht="15.75">
      <c r="A17" s="2">
        <f t="shared" si="0"/>
        <v>14</v>
      </c>
      <c r="C17" s="24" t="s">
        <v>91</v>
      </c>
      <c r="D17" s="26" t="s">
        <v>99</v>
      </c>
      <c r="E17" s="48" t="s">
        <v>102</v>
      </c>
      <c r="F17" s="23" t="s">
        <v>81</v>
      </c>
      <c r="G17" s="50" t="s">
        <v>104</v>
      </c>
      <c r="H17" s="2" t="s">
        <v>56</v>
      </c>
      <c r="I17" s="52" t="s">
        <v>113</v>
      </c>
      <c r="J17" s="54" t="s">
        <v>123</v>
      </c>
      <c r="K17" s="26" t="s">
        <v>136</v>
      </c>
      <c r="L17" s="52" t="s">
        <v>146</v>
      </c>
      <c r="M17" s="58" t="s">
        <v>159</v>
      </c>
      <c r="N17" s="24" t="s">
        <v>171</v>
      </c>
      <c r="O17" s="1" t="s">
        <v>63</v>
      </c>
      <c r="P17" s="1" t="s">
        <v>64</v>
      </c>
      <c r="Q17" s="1" t="s">
        <v>173</v>
      </c>
      <c r="R17" s="1" t="s">
        <v>66</v>
      </c>
      <c r="T17" s="62" t="s">
        <v>184</v>
      </c>
      <c r="U17" s="26" t="s">
        <v>200</v>
      </c>
      <c r="W17" s="1" t="s">
        <v>46</v>
      </c>
      <c r="X17" s="26" t="s">
        <v>214</v>
      </c>
      <c r="Z17" s="18" t="s">
        <v>243</v>
      </c>
      <c r="AA17" s="18" t="s">
        <v>243</v>
      </c>
      <c r="AB17" s="18" t="s">
        <v>243</v>
      </c>
      <c r="AD17" s="1" t="s">
        <v>44</v>
      </c>
      <c r="AF17" s="26" t="s">
        <v>99</v>
      </c>
      <c r="AG17" s="3" t="s">
        <v>222</v>
      </c>
      <c r="AI17" s="20" t="s">
        <v>75</v>
      </c>
      <c r="AJ17" s="17" t="str">
        <f t="shared" si="1"/>
        <v>083302009100</v>
      </c>
      <c r="AK17" s="2">
        <v>0</v>
      </c>
      <c r="AM17" s="2"/>
    </row>
    <row r="18" spans="1:39" s="1" customFormat="1" ht="15.75">
      <c r="A18" s="2">
        <f t="shared" si="0"/>
        <v>15</v>
      </c>
      <c r="C18" s="24" t="s">
        <v>92</v>
      </c>
      <c r="D18" s="26" t="s">
        <v>100</v>
      </c>
      <c r="E18" s="48" t="s">
        <v>103</v>
      </c>
      <c r="F18" s="24" t="s">
        <v>83</v>
      </c>
      <c r="G18" s="50" t="s">
        <v>104</v>
      </c>
      <c r="H18" s="2" t="s">
        <v>56</v>
      </c>
      <c r="I18" s="52" t="s">
        <v>114</v>
      </c>
      <c r="J18" s="54" t="s">
        <v>124</v>
      </c>
      <c r="K18" s="26" t="s">
        <v>137</v>
      </c>
      <c r="L18" s="52" t="s">
        <v>147</v>
      </c>
      <c r="M18" s="58" t="s">
        <v>160</v>
      </c>
      <c r="N18" s="59" t="s">
        <v>172</v>
      </c>
      <c r="O18" s="1" t="s">
        <v>63</v>
      </c>
      <c r="P18" s="1" t="s">
        <v>64</v>
      </c>
      <c r="Q18" s="1" t="s">
        <v>173</v>
      </c>
      <c r="R18" s="1" t="s">
        <v>66</v>
      </c>
      <c r="T18" s="62" t="s">
        <v>185</v>
      </c>
      <c r="U18" s="26" t="s">
        <v>201</v>
      </c>
      <c r="W18" s="1" t="s">
        <v>71</v>
      </c>
      <c r="X18" s="26" t="s">
        <v>215</v>
      </c>
      <c r="Z18" s="18" t="s">
        <v>243</v>
      </c>
      <c r="AA18" s="18" t="s">
        <v>243</v>
      </c>
      <c r="AB18" s="18" t="s">
        <v>243</v>
      </c>
      <c r="AK18" s="2"/>
      <c r="AM18" s="2"/>
    </row>
    <row r="19" spans="1:39" s="1" customFormat="1">
      <c r="AK19" s="2"/>
      <c r="AM19" s="2"/>
    </row>
    <row r="20" spans="1:39" s="1" customFormat="1">
      <c r="AK20" s="2"/>
      <c r="AM20" s="2"/>
    </row>
    <row r="21" spans="1:39" s="1" customFormat="1">
      <c r="AK21" s="2"/>
      <c r="AM21" s="2"/>
    </row>
    <row r="22" spans="1:39" s="1" customFormat="1">
      <c r="AK22" s="2"/>
      <c r="AM22" s="2"/>
    </row>
    <row r="23" spans="1:39" s="1" customFormat="1">
      <c r="AK23" s="2"/>
      <c r="AM23" s="2"/>
    </row>
    <row r="24" spans="1:39" s="1" customFormat="1">
      <c r="AK24" s="2"/>
      <c r="AM24" s="2"/>
    </row>
    <row r="25" spans="1:39" s="1" customFormat="1">
      <c r="AK25" s="2"/>
      <c r="AM25" s="2"/>
    </row>
    <row r="26" spans="1:39" s="1" customFormat="1">
      <c r="AK26" s="2"/>
      <c r="AM26" s="2"/>
    </row>
    <row r="27" spans="1:39" s="1" customFormat="1">
      <c r="AK27" s="2"/>
      <c r="AM27" s="2"/>
    </row>
    <row r="28" spans="1:39" s="1" customFormat="1">
      <c r="AK28" s="2"/>
      <c r="AM28" s="2"/>
    </row>
    <row r="29" spans="1:39" s="1" customFormat="1">
      <c r="AK29" s="2"/>
      <c r="AM29" s="2"/>
    </row>
    <row r="30" spans="1:39" s="1" customFormat="1">
      <c r="AK30" s="2"/>
      <c r="AM30" s="2"/>
    </row>
  </sheetData>
  <mergeCells count="15">
    <mergeCell ref="A2:A3"/>
    <mergeCell ref="B2:B3"/>
    <mergeCell ref="Z2:AC2"/>
    <mergeCell ref="AN2:AN3"/>
    <mergeCell ref="V2:Y2"/>
    <mergeCell ref="AH2:AI2"/>
    <mergeCell ref="AJ2:AK2"/>
    <mergeCell ref="AD2:AG2"/>
    <mergeCell ref="AL2:AM2"/>
    <mergeCell ref="G2:G3"/>
    <mergeCell ref="F2:F3"/>
    <mergeCell ref="E2:E3"/>
    <mergeCell ref="D2:D3"/>
    <mergeCell ref="C2:C3"/>
    <mergeCell ref="H2:U2"/>
  </mergeCells>
  <hyperlinks>
    <hyperlink ref="T4" r:id="rId1" xr:uid="{A440DF54-3FF8-4A60-968F-D597BC5CD8E3}"/>
    <hyperlink ref="T5" r:id="rId2" xr:uid="{C68B9DAA-3E5D-4226-924C-23D84531A897}"/>
    <hyperlink ref="U5" r:id="rId3" display="huynhbui158@gmail.com" xr:uid="{D3F2DEC0-A8F3-4E23-B239-36D9C106B157}"/>
    <hyperlink ref="T6" r:id="rId4" xr:uid="{4734A62C-9596-452D-ABB3-4944399AEF92}"/>
    <hyperlink ref="T7" r:id="rId5" xr:uid="{18A7A621-84E6-4A77-8E05-6CE17E410F5D}"/>
    <hyperlink ref="T9" r:id="rId6" xr:uid="{466B5712-0749-46FA-881E-0CCC983BFB01}"/>
    <hyperlink ref="T10" r:id="rId7" xr:uid="{AE8F8F3A-6DBB-4DA1-8580-585E76C5A223}"/>
    <hyperlink ref="T11" r:id="rId8" xr:uid="{FE108EAF-A0A3-488D-BF24-E1CEF1CA3666}"/>
    <hyperlink ref="T12" r:id="rId9" xr:uid="{6BC886A1-78E9-4FF8-BA46-642D95030FB2}"/>
    <hyperlink ref="T13" r:id="rId10" xr:uid="{9AB0D3D0-6ADB-4813-B178-0258CE586337}"/>
    <hyperlink ref="T15" r:id="rId11" xr:uid="{95210D62-3529-4159-A794-8488C68D844C}"/>
    <hyperlink ref="T14" r:id="rId12" xr:uid="{92150429-22E0-4060-B5FA-7D3128686532}"/>
    <hyperlink ref="T17" r:id="rId13" xr:uid="{37AF54F4-0740-4FFD-B9A3-29875B3F0BD8}"/>
    <hyperlink ref="T16" r:id="rId14" xr:uid="{9D3D8AFC-71B7-4119-97BF-5EC7F8A94A15}"/>
    <hyperlink ref="T18" r:id="rId15" xr:uid="{D5AA3E66-F44F-4693-8384-4AFC38BE0802}"/>
    <hyperlink ref="S8" r:id="rId16" xr:uid="{5210275D-3A28-4EA4-8787-7FC0448D738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NHÂN VIÊN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Vietstargroup</dc:creator>
  <cp:lastModifiedBy>Nghia</cp:lastModifiedBy>
  <dcterms:created xsi:type="dcterms:W3CDTF">2025-02-27T08:56:12Z</dcterms:created>
  <dcterms:modified xsi:type="dcterms:W3CDTF">2026-01-14T07:30:58Z</dcterms:modified>
</cp:coreProperties>
</file>