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etstargroup\Downloads\"/>
    </mc:Choice>
  </mc:AlternateContent>
  <xr:revisionPtr revIDLastSave="0" documentId="13_ncr:1_{DF3C46C8-E87A-49A5-B5CF-F45F433C16E6}" xr6:coauthVersionLast="36" xr6:coauthVersionMax="36" xr10:uidLastSave="{00000000-0000-0000-0000-000000000000}"/>
  <bookViews>
    <workbookView xWindow="0" yWindow="0" windowWidth="25200" windowHeight="11775" activeTab="1" xr2:uid="{A5976C23-0A68-4F09-B7ED-0CB0196A4811}"/>
  </bookViews>
  <sheets>
    <sheet name="PHỎNG VẤN" sheetId="1" r:id="rId1"/>
    <sheet name="NHÂN VIÊN" sheetId="2" r:id="rId2"/>
    <sheet name="NGHỈ VIỆC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3" l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5" i="3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5" i="2" l="1"/>
  <c r="AJ4" i="2"/>
  <c r="T4" i="3" l="1"/>
  <c r="G4" i="3"/>
  <c r="O4" i="3"/>
  <c r="R4" i="3"/>
  <c r="S4" i="3"/>
  <c r="U4" i="3"/>
  <c r="T5" i="3"/>
  <c r="U5" i="3"/>
  <c r="S5" i="3"/>
  <c r="R5" i="3"/>
  <c r="O5" i="3"/>
  <c r="G5" i="3" l="1"/>
</calcChain>
</file>

<file path=xl/sharedStrings.xml><?xml version="1.0" encoding="utf-8"?>
<sst xmlns="http://schemas.openxmlformats.org/spreadsheetml/2006/main" count="820" uniqueCount="445">
  <si>
    <t>STT</t>
  </si>
  <si>
    <t>HỌ VÀ TÊN</t>
  </si>
  <si>
    <t>VỊ TRÍ ỨNG TUYỂN</t>
  </si>
  <si>
    <t>QUẢN LÝ TRỰC TIẾP</t>
  </si>
  <si>
    <t>CCCD</t>
  </si>
  <si>
    <t>ĐỊA CHỈ</t>
  </si>
  <si>
    <t>SĐT</t>
  </si>
  <si>
    <t>EMAIL</t>
  </si>
  <si>
    <t>LỊCH PV</t>
  </si>
  <si>
    <t>KẾT QUẢ PV</t>
  </si>
  <si>
    <t>NGÀY NHẬN VIỆC</t>
  </si>
  <si>
    <t>GHI CHÚ</t>
  </si>
  <si>
    <t>Nguyễn Văn A</t>
  </si>
  <si>
    <t>Nhân viên TD</t>
  </si>
  <si>
    <t>Nguyễn Thị B</t>
  </si>
  <si>
    <t>012345678910</t>
  </si>
  <si>
    <t>1 Cộng Hòa, Tân Bình, TP.HCM</t>
  </si>
  <si>
    <t>0123456789</t>
  </si>
  <si>
    <t>abc@gmail.com</t>
  </si>
  <si>
    <t>13h ngày 24/02/2025</t>
  </si>
  <si>
    <t>Đạt</t>
  </si>
  <si>
    <t>01/03/2025</t>
  </si>
  <si>
    <t>MÃ VÂN TAY</t>
  </si>
  <si>
    <t>NGÀY OB</t>
  </si>
  <si>
    <t xml:space="preserve">CHỨC VỤ </t>
  </si>
  <si>
    <t>BỘ PHẬN</t>
  </si>
  <si>
    <t>NGÀY SINH</t>
  </si>
  <si>
    <t>NƠI SINH</t>
  </si>
  <si>
    <t>ĐỊA CHỈ THƯỜNG TRÚ</t>
  </si>
  <si>
    <t>ĐỊA CHỈ TẠM TRÚ</t>
  </si>
  <si>
    <t>DÂN TỘC</t>
  </si>
  <si>
    <t>TÔN GIÁO</t>
  </si>
  <si>
    <t>TÌNH TRẠNG HÔN NHÂN</t>
  </si>
  <si>
    <t>TRÌNH ĐỘ HỌC VẤN</t>
  </si>
  <si>
    <t>NGÀY CẤP</t>
  </si>
  <si>
    <t>EMAIL NHÂN VIÊN</t>
  </si>
  <si>
    <t>EMAIL CÁ NHÂN</t>
  </si>
  <si>
    <t xml:space="preserve">SĐT </t>
  </si>
  <si>
    <t>THÔNG TIN CÁ NHÂN</t>
  </si>
  <si>
    <t>NGƯỜI THAM CHIẾU</t>
  </si>
  <si>
    <t>MỐI QUAN HỆ</t>
  </si>
  <si>
    <t>THÔNG TIN THANH TOÁN</t>
  </si>
  <si>
    <t>STK</t>
  </si>
  <si>
    <t>TÊN NGÂN HÀNG</t>
  </si>
  <si>
    <t>THUẾ</t>
  </si>
  <si>
    <t>MÃ SỐ THUẾ</t>
  </si>
  <si>
    <t>SỐ NGƯỜI PHỤ THUỘC</t>
  </si>
  <si>
    <t>LOẠI HĐ</t>
  </si>
  <si>
    <t>NGÀY BẮT ĐẦU</t>
  </si>
  <si>
    <t>NGÀY KẾT THÚC</t>
  </si>
  <si>
    <t>HĐLĐ</t>
  </si>
  <si>
    <t>SỐ HĐ</t>
  </si>
  <si>
    <t>BHXH</t>
  </si>
  <si>
    <t>MÃ SỐ BHXH</t>
  </si>
  <si>
    <t>HỒ SƠ NHẬN VIỆC</t>
  </si>
  <si>
    <t>CCCD SAO Y</t>
  </si>
  <si>
    <t>SYLL</t>
  </si>
  <si>
    <t>ĐƠN XIN VIỆC</t>
  </si>
  <si>
    <t>SCAN</t>
  </si>
  <si>
    <t>NGÀY NGHỈ VIỆC</t>
  </si>
  <si>
    <t>01/01/2000</t>
  </si>
  <si>
    <t>THÔNG TIN HĐ</t>
  </si>
  <si>
    <t>HỒ SƠ THÔI VIỆC</t>
  </si>
  <si>
    <t>ĐƠN XIN THÔI VIỆC</t>
  </si>
  <si>
    <t>BIÊN BẢN BÀN GIAO</t>
  </si>
  <si>
    <t>CAM KẾT</t>
  </si>
  <si>
    <t>THANH LÝ NGHỈ VIỆC</t>
  </si>
  <si>
    <t>THỎA THẬN CD HĐLĐ</t>
  </si>
  <si>
    <t>TỜ RỜI</t>
  </si>
  <si>
    <t>QĐTV</t>
  </si>
  <si>
    <t>BÌA SỔ</t>
  </si>
  <si>
    <t>THƯ XÁC NHẬN THU NHẬP</t>
  </si>
  <si>
    <t>CHỨNG TỪ THUẾ</t>
  </si>
  <si>
    <t>HĐTV</t>
  </si>
  <si>
    <t>Tân Phú</t>
  </si>
  <si>
    <t>Anh</t>
  </si>
  <si>
    <t>SỐ HĐLĐ</t>
  </si>
  <si>
    <t>Trần Ngọc Thảo</t>
  </si>
  <si>
    <t>Bùi Nguyễn Nhật Huỳnh</t>
  </si>
  <si>
    <t>Kế toán</t>
  </si>
  <si>
    <t>Nhân sự</t>
  </si>
  <si>
    <t>HCNS</t>
  </si>
  <si>
    <t>Tp.HCM</t>
  </si>
  <si>
    <t>13/11/1998</t>
  </si>
  <si>
    <t>Đồng Tháp</t>
  </si>
  <si>
    <t>GIỚI TÍNH</t>
  </si>
  <si>
    <t>Nữ</t>
  </si>
  <si>
    <t>079189000698</t>
  </si>
  <si>
    <t>087198012829</t>
  </si>
  <si>
    <t>13/11/2023</t>
  </si>
  <si>
    <t>63/12 Phan Văn Trị, Phường 14, Bình Thạnh, Hồ Chí Minh</t>
  </si>
  <si>
    <t>50 Trần Thị Mến, Tân Thuận Đông, TP.Cao Lãnh, Đồng Tháp</t>
  </si>
  <si>
    <t>622/14 Cộng Hòa, Phường 13, quận Tân Bình, Tp.Hồ Chí Minh</t>
  </si>
  <si>
    <t>Kinh</t>
  </si>
  <si>
    <t>Không</t>
  </si>
  <si>
    <t>Đã kết hôn</t>
  </si>
  <si>
    <t>Đại học</t>
  </si>
  <si>
    <t>thaotran0512.2016@gmail.com</t>
  </si>
  <si>
    <t>huynhbui158@gmail.com</t>
  </si>
  <si>
    <t>0902869421</t>
  </si>
  <si>
    <t>0772191153</t>
  </si>
  <si>
    <t>Mẹ</t>
  </si>
  <si>
    <t>Không xác định thời hạn</t>
  </si>
  <si>
    <t>HĐLĐ 36 tháng</t>
  </si>
  <si>
    <t>9812051989</t>
  </si>
  <si>
    <t>teckcombank</t>
  </si>
  <si>
    <t>7912352258</t>
  </si>
  <si>
    <t>8721768696</t>
  </si>
  <si>
    <t>02/2024</t>
  </si>
  <si>
    <t>THÁNG BẮT ĐẦU</t>
  </si>
  <si>
    <t>Nguyễn Thị Thanh Hương</t>
  </si>
  <si>
    <t>Nguyễn Thị Thu Dung</t>
  </si>
  <si>
    <t>Lê Thị Diễm Châu</t>
  </si>
  <si>
    <t>Trần Yến Phương</t>
  </si>
  <si>
    <t>Huỳnh Thị Hồng Thắm</t>
  </si>
  <si>
    <t>Huỳnh Thị Kim Bích</t>
  </si>
  <si>
    <t>Nguyễn Lâm Nhật Linh</t>
  </si>
  <si>
    <t>Bùi Thị Bích Yến</t>
  </si>
  <si>
    <t>Lê Thị Mai</t>
  </si>
  <si>
    <t>Lê Thị Trà My</t>
  </si>
  <si>
    <t>Bùi Thị Minh Tâm</t>
  </si>
  <si>
    <t>Võ Thị Hoàng Lam</t>
  </si>
  <si>
    <t>Nguyễn Thị Ngọc Muội</t>
  </si>
  <si>
    <t>09/06/2025</t>
  </si>
  <si>
    <t>01/10/2025</t>
  </si>
  <si>
    <t>10/11/2025</t>
  </si>
  <si>
    <t>17/11/2025</t>
  </si>
  <si>
    <t>02/12/2025</t>
  </si>
  <si>
    <t>15/12/2025</t>
  </si>
  <si>
    <t>17/12/2025</t>
  </si>
  <si>
    <t>18/12/2025</t>
  </si>
  <si>
    <t>Senior</t>
  </si>
  <si>
    <t>Nhân viên tuyển dụng</t>
  </si>
  <si>
    <t>TTS</t>
  </si>
  <si>
    <t>Tuyển dụng</t>
  </si>
  <si>
    <t>18/09/2003</t>
  </si>
  <si>
    <t>09/08/2003</t>
  </si>
  <si>
    <t>02/06/2003</t>
  </si>
  <si>
    <t>28/04/2003</t>
  </si>
  <si>
    <t>10/11/2002</t>
  </si>
  <si>
    <t>22/09/2004</t>
  </si>
  <si>
    <t>23/07/2005</t>
  </si>
  <si>
    <t>14/11/2004</t>
  </si>
  <si>
    <t>06/08/2002</t>
  </si>
  <si>
    <t>31/01/2004</t>
  </si>
  <si>
    <t>Lâm Đồng</t>
  </si>
  <si>
    <t>Bình Phước</t>
  </si>
  <si>
    <t>TP.HCM</t>
  </si>
  <si>
    <t>Khánh Hòa</t>
  </si>
  <si>
    <t>Bình Định</t>
  </si>
  <si>
    <t>Tây Ninh</t>
  </si>
  <si>
    <t>Đắk Lắk</t>
  </si>
  <si>
    <t>Bình Thuận</t>
  </si>
  <si>
    <t>Bến Tre</t>
  </si>
  <si>
    <t>Long An</t>
  </si>
  <si>
    <t>068198003104</t>
  </si>
  <si>
    <t>066196019114</t>
  </si>
  <si>
    <t>070300006786</t>
  </si>
  <si>
    <t>079303016136</t>
  </si>
  <si>
    <t>056303004617</t>
  </si>
  <si>
    <t>052303001138</t>
  </si>
  <si>
    <t>072303002773</t>
  </si>
  <si>
    <t>054302008885</t>
  </si>
  <si>
    <t>052304008113</t>
  </si>
  <si>
    <t>060305013564</t>
  </si>
  <si>
    <t>068304006170</t>
  </si>
  <si>
    <t>083302009100</t>
  </si>
  <si>
    <t>080304001684</t>
  </si>
  <si>
    <t>28/06/2022</t>
  </si>
  <si>
    <t>22/12/2021</t>
  </si>
  <si>
    <t>10/05/2021</t>
  </si>
  <si>
    <t>13/04/2021</t>
  </si>
  <si>
    <t>07/09/2022</t>
  </si>
  <si>
    <t>05/12/2021</t>
  </si>
  <si>
    <t>06/09/2021</t>
  </si>
  <si>
    <t>12/08/2021</t>
  </si>
  <si>
    <t>10/12/2022</t>
  </si>
  <si>
    <t>05/04/2021</t>
  </si>
  <si>
    <t>Số 6, Đường DT725, TT Lộc Thắng, Bảo Lâm, Lâm Đồng</t>
  </si>
  <si>
    <t>Số 3, Đường B2, Tây Thạnh, Tân Phú, Hồ Chí Minh</t>
  </si>
  <si>
    <t>Ấp 2, Lộc Thuận, Lộc Ninh, Bình Phước</t>
  </si>
  <si>
    <t>205A/10 Âu cơ, Phường 5, Quận 11, TP.HCM</t>
  </si>
  <si>
    <t>Quang Đông, Ninh Đông, Ninh Hòa, Khánh Hòa</t>
  </si>
  <si>
    <t>Thôn Lộc Khánh, xã Cát Hưng, huyện Phù Cát, Bình Định</t>
  </si>
  <si>
    <t>Tân Định 1, Suối Đá, Dương Minh Châu, Tây Ninh</t>
  </si>
  <si>
    <t>Thôn Xuân Mỹ, xã Hòa Mỹ, Đắk Lắk</t>
  </si>
  <si>
    <t>Lương Bình, Phước Thắng, Tuy Phước, Bình Định</t>
  </si>
  <si>
    <t>Thôn Minh Tiến, Hàm Minh, Hàm Thuận Nam, Bình Thuận</t>
  </si>
  <si>
    <t>Tổ 1, Thị trấn Lộc Thắng, Bảo Lâm, Lâm Đồng</t>
  </si>
  <si>
    <t>Ấp 4 Tam Hiệp, Bình Đại, Bến Tre</t>
  </si>
  <si>
    <t>Rượng Lưới, Vĩnh Thạnh, Tân Hưng, Long An</t>
  </si>
  <si>
    <t>Số 6, Hạnh Thông, Phường 3, Gò Vấp, Hồ Chí Minh</t>
  </si>
  <si>
    <t>29/16 Đường số 8, Linh Tây, Thủ Đức, Hồ Chí Minh</t>
  </si>
  <si>
    <t>B5/16B ấp 17, xã Vĩnh Lộc A, huyện Bình Chánh, TP.HCM</t>
  </si>
  <si>
    <t>137 Tùng Thiện Vương, Phường Phú Định, TP.HCM</t>
  </si>
  <si>
    <t>222 Đinh Bộ Lĩnh, Phường 28, quận Bình Thạnh, TP.HCM</t>
  </si>
  <si>
    <t>109D/36 Lạc Long Quân, Phường 3, Quận 11, TP.HCM</t>
  </si>
  <si>
    <t>số 41 Đường 36, Linh Đông, Thủ Đức, TP.HCM</t>
  </si>
  <si>
    <t>185 Phan Văn Hớn, phường Tân Thới Nhất, Quận 12, TP.HCM</t>
  </si>
  <si>
    <t>12/43/11D ấp 4, xã Đông Thạnh, huyện Hóc Môn, TP.HCM</t>
  </si>
  <si>
    <t>Nguyễn Cự Lượng, Gò Vấp, TP.HCM</t>
  </si>
  <si>
    <t>101/74 Tổ 1, KP1, phường Trưng Mỹ Tây, Quận 12, TP.HCM</t>
  </si>
  <si>
    <t>126/6 Năm Châu, phường Bảy Hiền, quận Tân Bình, TP.HCM</t>
  </si>
  <si>
    <t>Độc thân</t>
  </si>
  <si>
    <t>thanhhuong5329@gmail.com</t>
  </si>
  <si>
    <t>Dungmi178@gmail.com</t>
  </si>
  <si>
    <t>yenphuong445@gmail.com</t>
  </si>
  <si>
    <t>huynhtham090803@gmail.com</t>
  </si>
  <si>
    <t>bichhuynh448@gmail.com</t>
  </si>
  <si>
    <t>nguyenlamnhatlinh2003@gmail.com</t>
  </si>
  <si>
    <t>buithibichyen150@gmail.com</t>
  </si>
  <si>
    <t>maifat929@gmail.com</t>
  </si>
  <si>
    <t>lemy230705@gmail.com</t>
  </si>
  <si>
    <t>buithiminhtam.141104@gmail.com</t>
  </si>
  <si>
    <t>hnglmm0608@gmail.com</t>
  </si>
  <si>
    <t>ngocmuoinguyenthi2004@gmail.com</t>
  </si>
  <si>
    <t>huong.nguyen@vietstargroup.vn</t>
  </si>
  <si>
    <t>dung.nguyen@vietstargroup.vn</t>
  </si>
  <si>
    <t>chau.le@vietstargroup.vn</t>
  </si>
  <si>
    <t>0376 841 087</t>
  </si>
  <si>
    <t>0932 683 027</t>
  </si>
  <si>
    <t>0346 424 105</t>
  </si>
  <si>
    <t>0906094055</t>
  </si>
  <si>
    <t>0353731977</t>
  </si>
  <si>
    <t>0985034951</t>
  </si>
  <si>
    <t>0829568911</t>
  </si>
  <si>
    <t>0354966239</t>
  </si>
  <si>
    <t>0352835240</t>
  </si>
  <si>
    <t>0767582259</t>
  </si>
  <si>
    <t>0377041702</t>
  </si>
  <si>
    <t>0376748738</t>
  </si>
  <si>
    <t>0346878985</t>
  </si>
  <si>
    <t>Chị</t>
  </si>
  <si>
    <t>Em gái</t>
  </si>
  <si>
    <t>Cha</t>
  </si>
  <si>
    <t>0374694209</t>
  </si>
  <si>
    <t xml:space="preserve">094.532357 </t>
  </si>
  <si>
    <t>0764287412</t>
  </si>
  <si>
    <t>0932850460</t>
  </si>
  <si>
    <t>0865908201</t>
  </si>
  <si>
    <t xml:space="preserve">0329274372 </t>
  </si>
  <si>
    <t>0387532520</t>
  </si>
  <si>
    <t>0902346267</t>
  </si>
  <si>
    <t>0975417104</t>
  </si>
  <si>
    <t>0326047735</t>
  </si>
  <si>
    <t>0786617519</t>
  </si>
  <si>
    <t>HĐLĐ 12 tháng</t>
  </si>
  <si>
    <t>08/11/2025</t>
  </si>
  <si>
    <t>09/01/2026</t>
  </si>
  <si>
    <t>07/01/2026</t>
  </si>
  <si>
    <t>16/01/2026</t>
  </si>
  <si>
    <t>14/02/2026</t>
  </si>
  <si>
    <t>16/02/2026</t>
  </si>
  <si>
    <t>19036565656010</t>
  </si>
  <si>
    <t>1110091998</t>
  </si>
  <si>
    <t>1417081996</t>
  </si>
  <si>
    <t>19035728129017</t>
  </si>
  <si>
    <t>1815131198</t>
  </si>
  <si>
    <t>3353731977</t>
  </si>
  <si>
    <t>19075497305013</t>
  </si>
  <si>
    <t>3828040901</t>
  </si>
  <si>
    <t>19075485064010</t>
  </si>
  <si>
    <t>6822993492</t>
  </si>
  <si>
    <t>8016074294</t>
  </si>
  <si>
    <t>7021278317</t>
  </si>
  <si>
    <t>7932815241</t>
  </si>
  <si>
    <t>5620815427</t>
  </si>
  <si>
    <t>5221009401</t>
  </si>
  <si>
    <t>7222364503</t>
  </si>
  <si>
    <t>5420608827</t>
  </si>
  <si>
    <t xml:space="preserve"> 09/2020</t>
  </si>
  <si>
    <t>08/2021</t>
  </si>
  <si>
    <t>01/2022</t>
  </si>
  <si>
    <t>Bùi Thị Quỳnh Trang</t>
  </si>
  <si>
    <t>Từ Hoàng Quỳnh Anh</t>
  </si>
  <si>
    <t>Lê Thị Hai</t>
  </si>
  <si>
    <t>Võ Ngọc Quỳnh</t>
  </si>
  <si>
    <t>Đoàn Thị Hương Giang</t>
  </si>
  <si>
    <t>Hà Nhật Hoàng Khanh</t>
  </si>
  <si>
    <t>Phạm Kim Ngân</t>
  </si>
  <si>
    <t>Trương Thị Mỹ Tiên</t>
  </si>
  <si>
    <t>Trang Thúy Vy</t>
  </si>
  <si>
    <t>Nguyễn Thị Anh Phương</t>
  </si>
  <si>
    <t>Trịnh Thị Bích Ngọc</t>
  </si>
  <si>
    <t>Ngô Ngọc Trâm</t>
  </si>
  <si>
    <t>Nguyễn Thị Gia Hân</t>
  </si>
  <si>
    <t>La Thị Cẩm Tú</t>
  </si>
  <si>
    <t>Trương Xuân Tường</t>
  </si>
  <si>
    <t>Nguyễn Ngọc Quỳnh Hương</t>
  </si>
  <si>
    <t>Trần Ngọc Minh</t>
  </si>
  <si>
    <t>Trần Thị Huyền Trân</t>
  </si>
  <si>
    <t>Nguyễn Trần Gia Mẫn</t>
  </si>
  <si>
    <t>17/03/2025</t>
  </si>
  <si>
    <t>18/03/2025</t>
  </si>
  <si>
    <t>10/03/2025</t>
  </si>
  <si>
    <t>13/05/2025</t>
  </si>
  <si>
    <t>04/11/2024</t>
  </si>
  <si>
    <t>16/06/2025</t>
  </si>
  <si>
    <t>10/06/2024</t>
  </si>
  <si>
    <t>03/02/2025</t>
  </si>
  <si>
    <t>12/03/2025</t>
  </si>
  <si>
    <t>09/09/2025</t>
  </si>
  <si>
    <t>22/10/2025</t>
  </si>
  <si>
    <t>24/09/2025</t>
  </si>
  <si>
    <t>Nhân viên IT</t>
  </si>
  <si>
    <t>Lễ Tân - Hành chính</t>
  </si>
  <si>
    <t>IT</t>
  </si>
  <si>
    <t>HC-NS</t>
  </si>
  <si>
    <t>09/03/2002</t>
  </si>
  <si>
    <t>12/04/2003</t>
  </si>
  <si>
    <t>02/02/1999</t>
  </si>
  <si>
    <t>20/06/2001</t>
  </si>
  <si>
    <t>11/06/2003</t>
  </si>
  <si>
    <t>25/12/2000</t>
  </si>
  <si>
    <t>07/08/2003</t>
  </si>
  <si>
    <t>01/03/2002</t>
  </si>
  <si>
    <t>29/10/2003</t>
  </si>
  <si>
    <t>16/12/2002</t>
  </si>
  <si>
    <t>22/08/2001</t>
  </si>
  <si>
    <t>01/05/2003</t>
  </si>
  <si>
    <t>23/03/2004</t>
  </si>
  <si>
    <t>04/08/2004</t>
  </si>
  <si>
    <t>079302000998</t>
  </si>
  <si>
    <t>094303001146</t>
  </si>
  <si>
    <t>080300001213</t>
  </si>
  <si>
    <t>068300004998</t>
  </si>
  <si>
    <t>077099010932</t>
  </si>
  <si>
    <t>070199000988</t>
  </si>
  <si>
    <t>083301010453</t>
  </si>
  <si>
    <t>096303001016</t>
  </si>
  <si>
    <t>060303000305</t>
  </si>
  <si>
    <t>067300006050</t>
  </si>
  <si>
    <t>082303016630</t>
  </si>
  <si>
    <t>083302007418</t>
  </si>
  <si>
    <t>079303025156</t>
  </si>
  <si>
    <t>080302005096</t>
  </si>
  <si>
    <t>079301027532</t>
  </si>
  <si>
    <t>091303001917</t>
  </si>
  <si>
    <t>082304001469</t>
  </si>
  <si>
    <t>052304002696</t>
  </si>
  <si>
    <t>08/04/2021</t>
  </si>
  <si>
    <t>15/04/2021</t>
  </si>
  <si>
    <t>11/08/2021</t>
  </si>
  <si>
    <t>22/01/2024</t>
  </si>
  <si>
    <t>21/08/2021</t>
  </si>
  <si>
    <t>02/04/2021</t>
  </si>
  <si>
    <t>12/04/2021</t>
  </si>
  <si>
    <t>28/12/2021</t>
  </si>
  <si>
    <t>17/07/2022</t>
  </si>
  <si>
    <t>02/07/2021</t>
  </si>
  <si>
    <t>25/01/2022</t>
  </si>
  <si>
    <t>31/05/2021</t>
  </si>
  <si>
    <t>24/06/2022</t>
  </si>
  <si>
    <t>24/04/2021</t>
  </si>
  <si>
    <t>09/05/2021</t>
  </si>
  <si>
    <t>73 Cao Thắng, Quận 3, TP.HCM</t>
  </si>
  <si>
    <t>Đoàn Văn Tố, xã Đại Ân 1, huyện Cù Lao Dung, Sóc Trăng</t>
  </si>
  <si>
    <t>261 Ấp Mỹ Tây, Mỹ Lệ, Cần Đước, Long An</t>
  </si>
  <si>
    <t>Thôn Đồng Lạc 4, Đinh Lạc, Di Linh, Lâm Đồng</t>
  </si>
  <si>
    <t>25/1 Đường 30, Khu phố 7, Linh Đông, Thủ Đức, Hồ Chí Minh</t>
  </si>
  <si>
    <t>, Nghĩa Trung, Bù Đăng, Bình Phước</t>
  </si>
  <si>
    <t>Ấp 5, xã Thạnh Phú Đông, Huyện Giồng Trôm, Bến Tre</t>
  </si>
  <si>
    <t>71/7 Lâm Thành Mậu, Khóm 4, Phường 4, TP.Cà Mau, Cà Mau</t>
  </si>
  <si>
    <t>Phong Phú, Tuy Phong, Bình Thuận</t>
  </si>
  <si>
    <t>Thôn 2, Kiến Thành, Đắk R'Lấp, Đắk Nông</t>
  </si>
  <si>
    <t>313 Mỹ An, Mỹ Đức Tây, Cái Bè, Tiền Giang</t>
  </si>
  <si>
    <t>Ấp Thanh Nam, Tân Thanh Tây, Mỏ Cày Bắc, Bến Tre</t>
  </si>
  <si>
    <t>687/60/9/18 Lạc Long Quân, Phường 10, quận Tân Bình, TP.HCM</t>
  </si>
  <si>
    <t>ấp 1, xã Mỹ Qúy Tây, huyện Đức Huệ, Long An</t>
  </si>
  <si>
    <t>A2 tổ 45 Khu phố 4, phường Trung Mỹ Tây, Quận 12, TP.HCM</t>
  </si>
  <si>
    <t>Hẻm 2A, Tổ 12, Kiên Lương, Kiên Giang</t>
  </si>
  <si>
    <t>Bình Hòa Đông, Bình Nhì, Gò Công Tây, Tiền Giang</t>
  </si>
  <si>
    <t>Khu phố Mỹ Điều, thị trấn Tuy Phước, Tuy Phước, Bình Định</t>
  </si>
  <si>
    <t>117 Phan Văn Hân, Phường 17, quận Bình Thạnh, TP.HCM</t>
  </si>
  <si>
    <t>891 Nguyễn Kiệm, Phường 3, quận Gò Vấp, TP.HCM</t>
  </si>
  <si>
    <t>985/71/9/4 Hương lộ 2, Khu phố 8, Bình Trị Đông A, Bình Tân, Hồ Chí Minh</t>
  </si>
  <si>
    <t>406/36 Cộng Hòa, Phường 13, Tân Bình, Hồ Chí Minh</t>
  </si>
  <si>
    <t>Chung cư Mỹ Long, Đường số 18, Hiệp Bình Chánh, Thủ Đức, Hồ Chí Minh</t>
  </si>
  <si>
    <t>130 Điện Biên Phủ, Phường 17, Quận Bình Thạnh, TPHCM</t>
  </si>
  <si>
    <t>38 Hoàng Xuân Nhị, phường Phú Trung, quận Tân Phú, TP.HCM</t>
  </si>
  <si>
    <t>Đường số 8, Phường 11, quận Gò Vấp, TP.HCM</t>
  </si>
  <si>
    <t>793/51 Trần Xuân Soạn, Phường Tân Hưng, Quận 7, TPHCM</t>
  </si>
  <si>
    <t>1/38X Thanh Đa, quận Bình Thạnh, TP.HCM</t>
  </si>
  <si>
    <t>Đường số 7, Linh Trung, Tp. Thủ Đức, TPHCM</t>
  </si>
  <si>
    <t>207 Nguyễn Văn Đậu, Phường 11, quận Bình Thạnh, TP.HCM</t>
  </si>
  <si>
    <t>24 QL22, Đông Lân, Bà Điểm, Hóc Môn, TP.HCM</t>
  </si>
  <si>
    <t>139 Vườn Lài, Khu phố 4, An Phú Đông, TP.HCM</t>
  </si>
  <si>
    <t>141/43 đường số 28, phường 6, quận Gò Vấp, TP.HCM</t>
  </si>
  <si>
    <t>Đường Số 6, E40, ấp Mỹ Hòa 2, Xuân Thới Đông, Hóc Môn, TP.HCM</t>
  </si>
  <si>
    <t>0908820062</t>
  </si>
  <si>
    <t>0397257243</t>
  </si>
  <si>
    <t>0852816559</t>
  </si>
  <si>
    <t>0977929302</t>
  </si>
  <si>
    <t>0396926253</t>
  </si>
  <si>
    <t>0343738687</t>
  </si>
  <si>
    <t>0584873110</t>
  </si>
  <si>
    <t>0398351770</t>
  </si>
  <si>
    <t>0867879087</t>
  </si>
  <si>
    <t>0378199189</t>
  </si>
  <si>
    <t>0384891372</t>
  </si>
  <si>
    <t>0987180721</t>
  </si>
  <si>
    <t>0365516837</t>
  </si>
  <si>
    <t xml:space="preserve">0927020206 </t>
  </si>
  <si>
    <t>0866823799</t>
  </si>
  <si>
    <t>0336481006</t>
  </si>
  <si>
    <t>0814391818</t>
  </si>
  <si>
    <t xml:space="preserve">0384764759 </t>
  </si>
  <si>
    <t>tuhoangquynhanh@gmail.com</t>
  </si>
  <si>
    <t>lehai.vn@gmail.com</t>
  </si>
  <si>
    <t>vongocquynh2K@gmail.com</t>
  </si>
  <si>
    <t>dthuonggiang805@gmail.com</t>
  </si>
  <si>
    <t>hanhathoangkhanh@gmail.com</t>
  </si>
  <si>
    <t>pkimngan.kim@gmail.com</t>
  </si>
  <si>
    <t>mytien200601@gmail.com</t>
  </si>
  <si>
    <t>trangthuyvycm@gmail.com</t>
  </si>
  <si>
    <t>nguyenanhphuong5858@gmail.com</t>
  </si>
  <si>
    <t>bichngochr.2512@gmail.com</t>
  </si>
  <si>
    <t>ngongoctram7803@gmail.com</t>
  </si>
  <si>
    <t>hanntg.07@gmail.com</t>
  </si>
  <si>
    <t>lathicamtu2910@gmail.com</t>
  </si>
  <si>
    <t>txtuong161202@gmail.com</t>
  </si>
  <si>
    <t>nguyenngocqhuong.hr@gmail.com</t>
  </si>
  <si>
    <t>minhtran.010303@gmail.com</t>
  </si>
  <si>
    <t>trantth23032004@gmail.com</t>
  </si>
  <si>
    <t>ntgiaman2004@gmail.com</t>
  </si>
  <si>
    <t>0927020206</t>
  </si>
  <si>
    <t>0392 233 201</t>
  </si>
  <si>
    <t>Em</t>
  </si>
  <si>
    <t>Bạn</t>
  </si>
  <si>
    <t xml:space="preserve">Chị </t>
  </si>
  <si>
    <t>0907175085</t>
  </si>
  <si>
    <t>0337045356</t>
  </si>
  <si>
    <t>0989126897</t>
  </si>
  <si>
    <t xml:space="preserve">0337249978 </t>
  </si>
  <si>
    <t>0907389336</t>
  </si>
  <si>
    <t>0398721826</t>
  </si>
  <si>
    <t>0326028977</t>
  </si>
  <si>
    <t>0342257719</t>
  </si>
  <si>
    <t>0356798612</t>
  </si>
  <si>
    <t>0899514481</t>
  </si>
  <si>
    <t>0947379232</t>
  </si>
  <si>
    <t>0778001866</t>
  </si>
  <si>
    <t>0923086659</t>
  </si>
  <si>
    <t>0373913799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</si>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</sst>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/mm\/yyyy"/>
    <numFmt numFmtId="166" formatCode="_-* #,##0_-;\-* #,##0_-;_-* &quot;-&quot;??_-;_-@_-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u/>
      <sz val="12"/>
      <color theme="10"/>
      <name val="Times New Roman"/>
      <family val="1"/>
    </font>
    <font>
      <u/>
      <sz val="12"/>
      <color rgb="FF0563C1"/>
      <name val="Times New Roman"/>
      <family val="1"/>
    </font>
    <font>
      <sz val="11"/>
      <color rgb="FF000000"/>
      <name val="Times  New Roman"/>
    </font>
    <font>
      <sz val="1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6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2" fillId="0" borderId="1" xfId="1" applyBorder="1"/>
    <xf numFmtId="0" fontId="0" fillId="0" borderId="1" xfId="0" quotePrefix="1" applyBorder="1" applyAlignment="1">
      <alignment horizontal="center"/>
    </xf>
    <xf numFmtId="0" fontId="1" fillId="5" borderId="1" xfId="0" applyFont="1" applyFill="1" applyBorder="1" applyAlignment="1"/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wrapText="1"/>
    </xf>
    <xf numFmtId="14" fontId="0" fillId="0" borderId="1" xfId="0" quotePrefix="1" applyNumberFormat="1" applyBorder="1"/>
    <xf numFmtId="14" fontId="0" fillId="0" borderId="1" xfId="0" applyNumberForma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0" borderId="7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 wrapText="1" shrinkToFit="1"/>
    </xf>
    <xf numFmtId="49" fontId="0" fillId="0" borderId="1" xfId="0" quotePrefix="1" applyNumberFormat="1" applyBorder="1"/>
    <xf numFmtId="0" fontId="0" fillId="0" borderId="5" xfId="0" applyBorder="1" applyAlignment="1">
      <alignment horizontal="center"/>
    </xf>
    <xf numFmtId="0" fontId="0" fillId="0" borderId="5" xfId="0" quotePrefix="1" applyBorder="1"/>
    <xf numFmtId="0" fontId="0" fillId="0" borderId="5" xfId="0" applyBorder="1"/>
    <xf numFmtId="49" fontId="0" fillId="0" borderId="5" xfId="0" quotePrefix="1" applyNumberFormat="1" applyBorder="1"/>
    <xf numFmtId="0" fontId="4" fillId="0" borderId="9" xfId="0" applyFont="1" applyBorder="1" applyAlignment="1">
      <alignment horizontal="left" vertical="center"/>
    </xf>
    <xf numFmtId="0" fontId="4" fillId="16" borderId="9" xfId="0" applyFont="1" applyFill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14" fontId="4" fillId="16" borderId="9" xfId="0" applyNumberFormat="1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4" fillId="15" borderId="5" xfId="0" applyFont="1" applyFill="1" applyBorder="1" applyAlignment="1">
      <alignment horizontal="left" vertical="center" wrapText="1"/>
    </xf>
    <xf numFmtId="14" fontId="5" fillId="15" borderId="5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/>
    </xf>
    <xf numFmtId="164" fontId="4" fillId="16" borderId="10" xfId="0" applyNumberFormat="1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49" fontId="5" fillId="15" borderId="5" xfId="0" quotePrefix="1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7" fillId="15" borderId="5" xfId="1" applyFont="1" applyFill="1" applyBorder="1" applyAlignment="1">
      <alignment horizontal="left" vertical="center" wrapText="1"/>
    </xf>
    <xf numFmtId="49" fontId="5" fillId="15" borderId="5" xfId="0" quotePrefix="1" applyNumberFormat="1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left"/>
    </xf>
    <xf numFmtId="0" fontId="0" fillId="0" borderId="6" xfId="0" applyBorder="1"/>
    <xf numFmtId="49" fontId="5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 shrinkToFit="1"/>
    </xf>
    <xf numFmtId="164" fontId="4" fillId="0" borderId="1" xfId="0" quotePrefix="1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quotePrefix="1" applyNumberFormat="1" applyFont="1" applyBorder="1" applyAlignment="1">
      <alignment horizontal="center" vertical="center"/>
    </xf>
    <xf numFmtId="164" fontId="5" fillId="0" borderId="1" xfId="0" quotePrefix="1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wrapText="1" shrinkToFit="1"/>
    </xf>
    <xf numFmtId="49" fontId="2" fillId="0" borderId="1" xfId="1" applyNumberFormat="1" applyBorder="1" applyAlignment="1">
      <alignment horizontal="left" vertical="center" shrinkToFit="1"/>
    </xf>
    <xf numFmtId="0" fontId="4" fillId="0" borderId="9" xfId="0" applyFont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16" borderId="9" xfId="0" applyNumberFormat="1" applyFont="1" applyFill="1" applyBorder="1" applyAlignment="1">
      <alignment horizontal="center" vertical="center"/>
    </xf>
    <xf numFmtId="14" fontId="5" fillId="0" borderId="6" xfId="0" quotePrefix="1" applyNumberFormat="1" applyFont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4" fillId="16" borderId="9" xfId="0" applyNumberFormat="1" applyFont="1" applyFill="1" applyBorder="1" applyAlignment="1">
      <alignment horizontal="center" vertical="center"/>
    </xf>
    <xf numFmtId="49" fontId="4" fillId="16" borderId="9" xfId="0" quotePrefix="1" applyNumberFormat="1" applyFont="1" applyFill="1" applyBorder="1" applyAlignment="1">
      <alignment horizontal="center" vertical="center"/>
    </xf>
    <xf numFmtId="14" fontId="4" fillId="16" borderId="9" xfId="0" quotePrefix="1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6" xfId="0" quotePrefix="1" applyFont="1" applyBorder="1" applyAlignment="1">
      <alignment vertical="center"/>
    </xf>
    <xf numFmtId="0" fontId="7" fillId="0" borderId="9" xfId="1" applyFont="1" applyBorder="1" applyAlignment="1">
      <alignment horizontal="left" vertical="center"/>
    </xf>
    <xf numFmtId="0" fontId="2" fillId="0" borderId="6" xfId="1" applyBorder="1" applyAlignment="1">
      <alignment vertical="center"/>
    </xf>
    <xf numFmtId="0" fontId="2" fillId="0" borderId="6" xfId="1" quotePrefix="1" applyBorder="1" applyAlignment="1">
      <alignment vertical="center"/>
    </xf>
    <xf numFmtId="49" fontId="5" fillId="16" borderId="9" xfId="0" applyNumberFormat="1" applyFont="1" applyFill="1" applyBorder="1" applyAlignment="1">
      <alignment horizontal="left" vertical="center"/>
    </xf>
    <xf numFmtId="49" fontId="8" fillId="16" borderId="9" xfId="0" applyNumberFormat="1" applyFont="1" applyFill="1" applyBorder="1" applyAlignment="1">
      <alignment horizontal="left" vertical="center"/>
    </xf>
    <xf numFmtId="0" fontId="4" fillId="16" borderId="1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66" fontId="9" fillId="0" borderId="13" xfId="2" applyNumberFormat="1" applyFont="1" applyFill="1" applyBorder="1" applyAlignment="1">
      <alignment horizontal="center" vertical="center"/>
    </xf>
    <xf numFmtId="49" fontId="10" fillId="0" borderId="1" xfId="0" quotePrefix="1" applyNumberFormat="1" applyFont="1" applyFill="1" applyBorder="1" applyAlignment="1">
      <alignment horizontal="center" wrapText="1"/>
    </xf>
    <xf numFmtId="0" fontId="10" fillId="0" borderId="1" xfId="0" applyFont="1" applyFill="1" applyBorder="1" applyAlignment="1">
      <alignment horizontal="center"/>
    </xf>
    <xf numFmtId="17" fontId="10" fillId="0" borderId="1" xfId="0" quotePrefix="1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5" xfId="0" quotePrefix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49" fontId="0" fillId="0" borderId="1" xfId="0" applyNumberFormat="1" applyBorder="1"/>
    <xf numFmtId="14" fontId="4" fillId="0" borderId="6" xfId="0" quotePrefix="1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shrinkToFit="1"/>
    </xf>
    <xf numFmtId="14" fontId="4" fillId="0" borderId="1" xfId="0" applyNumberFormat="1" applyFont="1" applyBorder="1" applyAlignment="1">
      <alignment horizontal="center" vertical="center"/>
    </xf>
    <xf numFmtId="14" fontId="4" fillId="0" borderId="15" xfId="0" quotePrefix="1" applyNumberFormat="1" applyFont="1" applyBorder="1" applyAlignment="1">
      <alignment horizontal="center" vertical="center"/>
    </xf>
    <xf numFmtId="14" fontId="4" fillId="0" borderId="1" xfId="0" quotePrefix="1" applyNumberFormat="1" applyFont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16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4" fontId="6" fillId="0" borderId="6" xfId="0" quotePrefix="1" applyNumberFormat="1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6" fillId="0" borderId="15" xfId="0" quotePrefix="1" applyNumberFormat="1" applyFont="1" applyFill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center" vertical="center"/>
    </xf>
    <xf numFmtId="164" fontId="6" fillId="0" borderId="1" xfId="0" quotePrefix="1" applyNumberFormat="1" applyFont="1" applyFill="1" applyBorder="1" applyAlignment="1">
      <alignment horizontal="center" vertical="center"/>
    </xf>
    <xf numFmtId="0" fontId="6" fillId="0" borderId="6" xfId="0" quotePrefix="1" applyFont="1" applyFill="1" applyBorder="1" applyAlignment="1">
      <alignment horizontal="center"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6" fillId="0" borderId="15" xfId="0" quotePrefix="1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6" fillId="0" borderId="12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4" fillId="0" borderId="11" xfId="0" quotePrefix="1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2" fillId="0" borderId="6" xfId="1" applyFill="1" applyBorder="1" applyAlignment="1">
      <alignment vertical="center"/>
    </xf>
    <xf numFmtId="0" fontId="8" fillId="0" borderId="1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 shrinkToFit="1"/>
    </xf>
    <xf numFmtId="0" fontId="7" fillId="0" borderId="1" xfId="1" applyFont="1" applyBorder="1" applyAlignment="1">
      <alignment horizontal="left" vertical="center"/>
    </xf>
    <xf numFmtId="0" fontId="2" fillId="0" borderId="15" xfId="1" applyFill="1" applyBorder="1" applyAlignment="1">
      <alignment vertical="center"/>
    </xf>
    <xf numFmtId="0" fontId="2" fillId="0" borderId="1" xfId="1" applyBorder="1" applyAlignment="1">
      <alignment vertical="center"/>
    </xf>
    <xf numFmtId="0" fontId="2" fillId="0" borderId="1" xfId="1" applyFill="1" applyBorder="1" applyAlignment="1">
      <alignment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ichhuynh448@gmail.com" TargetMode="External"/><Relationship Id="rId13" Type="http://schemas.openxmlformats.org/officeDocument/2006/relationships/hyperlink" Target="mailto:hnglmm0608@gmail.com" TargetMode="External"/><Relationship Id="rId3" Type="http://schemas.openxmlformats.org/officeDocument/2006/relationships/hyperlink" Target="mailto:huynhbui158@gmail.com" TargetMode="External"/><Relationship Id="rId7" Type="http://schemas.openxmlformats.org/officeDocument/2006/relationships/hyperlink" Target="mailto:huynhtham090803@gmail.com" TargetMode="External"/><Relationship Id="rId12" Type="http://schemas.openxmlformats.org/officeDocument/2006/relationships/hyperlink" Target="mailto:maifat929@gmail.com" TargetMode="External"/><Relationship Id="rId2" Type="http://schemas.openxmlformats.org/officeDocument/2006/relationships/hyperlink" Target="mailto:huynhbui158@gmail.com" TargetMode="External"/><Relationship Id="rId16" Type="http://schemas.openxmlformats.org/officeDocument/2006/relationships/hyperlink" Target="mailto:chau.le@vietstargroup.vn" TargetMode="External"/><Relationship Id="rId1" Type="http://schemas.openxmlformats.org/officeDocument/2006/relationships/hyperlink" Target="mailto:thaotran0512.2016@gmail.com" TargetMode="External"/><Relationship Id="rId6" Type="http://schemas.openxmlformats.org/officeDocument/2006/relationships/hyperlink" Target="mailto:yenphuong445@gmail.com" TargetMode="External"/><Relationship Id="rId11" Type="http://schemas.openxmlformats.org/officeDocument/2006/relationships/hyperlink" Target="mailto:lemy230705@gmail.com" TargetMode="External"/><Relationship Id="rId5" Type="http://schemas.openxmlformats.org/officeDocument/2006/relationships/hyperlink" Target="mailto:Dungmi178@gmail.com" TargetMode="External"/><Relationship Id="rId15" Type="http://schemas.openxmlformats.org/officeDocument/2006/relationships/hyperlink" Target="mailto:ngocmuoinguyenthi2004@gmail.com" TargetMode="External"/><Relationship Id="rId10" Type="http://schemas.openxmlformats.org/officeDocument/2006/relationships/hyperlink" Target="mailto:buithibichyen150@gmail.com" TargetMode="External"/><Relationship Id="rId4" Type="http://schemas.openxmlformats.org/officeDocument/2006/relationships/hyperlink" Target="mailto:thanhhuong5329@gmail.com" TargetMode="External"/><Relationship Id="rId9" Type="http://schemas.openxmlformats.org/officeDocument/2006/relationships/hyperlink" Target="mailto:nguyenlamnhatlinh2003@gmail.com" TargetMode="External"/><Relationship Id="rId14" Type="http://schemas.openxmlformats.org/officeDocument/2006/relationships/hyperlink" Target="mailto:buithiminhtam.141104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guyenanhphuong5858@gmail.com" TargetMode="External"/><Relationship Id="rId13" Type="http://schemas.openxmlformats.org/officeDocument/2006/relationships/hyperlink" Target="mailto:txtuong161202@gmail.com" TargetMode="External"/><Relationship Id="rId3" Type="http://schemas.openxmlformats.org/officeDocument/2006/relationships/hyperlink" Target="mailto:dthuonggiang805@gmail.com" TargetMode="External"/><Relationship Id="rId7" Type="http://schemas.openxmlformats.org/officeDocument/2006/relationships/hyperlink" Target="mailto:trangthuyvycm@gmail.com" TargetMode="External"/><Relationship Id="rId12" Type="http://schemas.openxmlformats.org/officeDocument/2006/relationships/hyperlink" Target="mailto:lathicamtu2910@gmail.com" TargetMode="External"/><Relationship Id="rId2" Type="http://schemas.openxmlformats.org/officeDocument/2006/relationships/hyperlink" Target="mailto:lehai.vn@gmail.com" TargetMode="External"/><Relationship Id="rId16" Type="http://schemas.openxmlformats.org/officeDocument/2006/relationships/hyperlink" Target="mailto:ntgiaman2004@gmail.com" TargetMode="External"/><Relationship Id="rId1" Type="http://schemas.openxmlformats.org/officeDocument/2006/relationships/hyperlink" Target="mailto:tuhoangquynhanh@gmail.com" TargetMode="External"/><Relationship Id="rId6" Type="http://schemas.openxmlformats.org/officeDocument/2006/relationships/hyperlink" Target="mailto:mytien200601@gmail.com" TargetMode="External"/><Relationship Id="rId11" Type="http://schemas.openxmlformats.org/officeDocument/2006/relationships/hyperlink" Target="mailto:hanntg.07@gmail.com" TargetMode="External"/><Relationship Id="rId5" Type="http://schemas.openxmlformats.org/officeDocument/2006/relationships/hyperlink" Target="mailto:pkimngan.kim@gmail.com" TargetMode="External"/><Relationship Id="rId15" Type="http://schemas.openxmlformats.org/officeDocument/2006/relationships/hyperlink" Target="mailto:minhtran.010303@gmail.com" TargetMode="External"/><Relationship Id="rId10" Type="http://schemas.openxmlformats.org/officeDocument/2006/relationships/hyperlink" Target="mailto:ngongoctram7803@gmail.com" TargetMode="External"/><Relationship Id="rId4" Type="http://schemas.openxmlformats.org/officeDocument/2006/relationships/hyperlink" Target="mailto:vongocquynh2K@gmail.com" TargetMode="External"/><Relationship Id="rId9" Type="http://schemas.openxmlformats.org/officeDocument/2006/relationships/hyperlink" Target="mailto:bichngochr.2512@gmail.com" TargetMode="External"/><Relationship Id="rId14" Type="http://schemas.openxmlformats.org/officeDocument/2006/relationships/hyperlink" Target="mailto:nguyenngocqhuong.h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FF1A-B124-41C2-8034-3F8B7EDD4305}">
  <dimension ref="A2:M4"/>
  <sheetViews>
    <sheetView workbookViewId="0">
      <selection activeCell="J3" sqref="J3"/>
    </sheetView>
  </sheetViews>
  <sheetFormatPr defaultRowHeight="15"/>
  <cols>
    <col min="2" max="2" width="22" customWidth="1"/>
    <col min="3" max="3" width="22.5703125" customWidth="1"/>
    <col min="4" max="5" width="21.85546875" customWidth="1"/>
    <col min="6" max="6" width="17.5703125" customWidth="1"/>
    <col min="7" max="7" width="29.42578125" customWidth="1"/>
    <col min="8" max="8" width="17.85546875" customWidth="1"/>
    <col min="9" max="9" width="17" customWidth="1"/>
    <col min="10" max="10" width="25.140625" customWidth="1"/>
    <col min="11" max="11" width="14.5703125" customWidth="1"/>
    <col min="12" max="12" width="18.85546875" customWidth="1"/>
    <col min="13" max="13" width="23" customWidth="1"/>
  </cols>
  <sheetData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26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>
      <c r="A3" s="3">
        <v>1</v>
      </c>
      <c r="B3" s="1" t="s">
        <v>12</v>
      </c>
      <c r="C3" s="1" t="s">
        <v>13</v>
      </c>
      <c r="D3" s="1" t="s">
        <v>14</v>
      </c>
      <c r="E3" s="4" t="s">
        <v>60</v>
      </c>
      <c r="F3" s="4" t="s">
        <v>15</v>
      </c>
      <c r="G3" s="1" t="s">
        <v>16</v>
      </c>
      <c r="H3" s="4" t="s">
        <v>17</v>
      </c>
      <c r="I3" s="5" t="s">
        <v>18</v>
      </c>
      <c r="J3" s="1" t="s">
        <v>19</v>
      </c>
      <c r="K3" s="3" t="s">
        <v>20</v>
      </c>
      <c r="L3" s="6" t="s">
        <v>21</v>
      </c>
      <c r="M3" s="1"/>
    </row>
    <row r="4" spans="1:13">
      <c r="A4" s="3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</sheetData>
  <hyperlinks>
    <hyperlink ref="I3" r:id="rId1" xr:uid="{3EEA74B8-9052-4069-A284-09587D7F924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8B0C-4DFF-4075-A08C-CD7966EFF116}">
  <dimension ref="A2:AN3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26" sqref="F26"/>
    </sheetView>
  </sheetViews>
  <sheetFormatPr defaultRowHeight="15"/>
  <cols>
    <col min="2" max="2" width="15" customWidth="1"/>
    <col min="3" max="3" width="23.28515625" customWidth="1"/>
    <col min="4" max="4" width="16.7109375" customWidth="1"/>
    <col min="5" max="5" width="21.140625" customWidth="1"/>
    <col min="6" max="6" width="24" customWidth="1"/>
    <col min="7" max="7" width="12.7109375" customWidth="1"/>
    <col min="9" max="9" width="11.5703125" customWidth="1"/>
    <col min="10" max="10" width="13.5703125" customWidth="1"/>
    <col min="11" max="11" width="22.7109375" customWidth="1"/>
    <col min="12" max="12" width="16.42578125" customWidth="1"/>
    <col min="13" max="13" width="65.5703125" customWidth="1"/>
    <col min="14" max="14" width="59" customWidth="1"/>
    <col min="17" max="17" width="11.7109375" customWidth="1"/>
    <col min="19" max="19" width="31.7109375" customWidth="1"/>
    <col min="20" max="20" width="35.5703125" customWidth="1"/>
    <col min="21" max="21" width="21.5703125" customWidth="1"/>
    <col min="22" max="22" width="15.5703125" customWidth="1"/>
    <col min="23" max="23" width="20.5703125" customWidth="1"/>
    <col min="24" max="24" width="22.7109375" customWidth="1"/>
    <col min="26" max="26" width="18" customWidth="1"/>
    <col min="27" max="27" width="16.140625" customWidth="1"/>
    <col min="28" max="28" width="14.140625" customWidth="1"/>
    <col min="29" max="29" width="12.85546875" customWidth="1"/>
    <col min="30" max="30" width="22" customWidth="1"/>
    <col min="31" max="31" width="14.140625" customWidth="1"/>
    <col min="32" max="32" width="16.85546875" customWidth="1"/>
    <col min="33" max="33" width="18.42578125" customWidth="1"/>
    <col min="34" max="34" width="18.5703125" customWidth="1"/>
    <col min="35" max="35" width="20.85546875" customWidth="1"/>
    <col min="36" max="36" width="15.85546875" customWidth="1"/>
    <col min="37" max="37" width="13.5703125" style="115" customWidth="1"/>
    <col min="38" max="38" width="16.140625" customWidth="1"/>
    <col min="39" max="39" width="17.7109375" style="115" customWidth="1"/>
    <col min="40" max="40" width="21" customWidth="1"/>
  </cols>
  <sheetData>
    <row r="2" spans="1:40">
      <c r="A2" s="25" t="s">
        <v>0</v>
      </c>
      <c r="B2" s="25" t="s">
        <v>22</v>
      </c>
      <c r="C2" s="25" t="s">
        <v>1</v>
      </c>
      <c r="D2" s="25" t="s">
        <v>23</v>
      </c>
      <c r="E2" s="25" t="s">
        <v>24</v>
      </c>
      <c r="F2" s="25" t="s">
        <v>3</v>
      </c>
      <c r="G2" s="25" t="s">
        <v>25</v>
      </c>
      <c r="H2" s="54" t="s">
        <v>38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6"/>
      <c r="V2" s="31" t="s">
        <v>39</v>
      </c>
      <c r="W2" s="31"/>
      <c r="X2" s="31"/>
      <c r="Y2" s="31"/>
      <c r="Z2" s="26" t="s">
        <v>54</v>
      </c>
      <c r="AA2" s="27"/>
      <c r="AB2" s="27"/>
      <c r="AC2" s="28"/>
      <c r="AD2" s="36" t="s">
        <v>61</v>
      </c>
      <c r="AE2" s="37"/>
      <c r="AF2" s="37"/>
      <c r="AG2" s="38"/>
      <c r="AH2" s="32" t="s">
        <v>41</v>
      </c>
      <c r="AI2" s="33"/>
      <c r="AJ2" s="34" t="s">
        <v>44</v>
      </c>
      <c r="AK2" s="35"/>
      <c r="AL2" s="39" t="s">
        <v>52</v>
      </c>
      <c r="AM2" s="40"/>
      <c r="AN2" s="29" t="s">
        <v>59</v>
      </c>
    </row>
    <row r="3" spans="1:40" ht="30">
      <c r="A3" s="25"/>
      <c r="B3" s="25"/>
      <c r="C3" s="25"/>
      <c r="D3" s="25"/>
      <c r="E3" s="25"/>
      <c r="F3" s="25"/>
      <c r="G3" s="25"/>
      <c r="H3" s="14" t="s">
        <v>85</v>
      </c>
      <c r="I3" s="14" t="s">
        <v>26</v>
      </c>
      <c r="J3" s="15" t="s">
        <v>27</v>
      </c>
      <c r="K3" s="15" t="s">
        <v>4</v>
      </c>
      <c r="L3" s="15" t="s">
        <v>34</v>
      </c>
      <c r="M3" s="15" t="s">
        <v>28</v>
      </c>
      <c r="N3" s="15" t="s">
        <v>29</v>
      </c>
      <c r="O3" s="15" t="s">
        <v>30</v>
      </c>
      <c r="P3" s="15" t="s">
        <v>31</v>
      </c>
      <c r="Q3" s="15" t="s">
        <v>32</v>
      </c>
      <c r="R3" s="15" t="s">
        <v>33</v>
      </c>
      <c r="S3" s="15" t="s">
        <v>35</v>
      </c>
      <c r="T3" s="15" t="s">
        <v>36</v>
      </c>
      <c r="U3" s="15" t="s">
        <v>37</v>
      </c>
      <c r="V3" s="13" t="s">
        <v>1</v>
      </c>
      <c r="W3" s="13" t="s">
        <v>40</v>
      </c>
      <c r="X3" s="13" t="s">
        <v>6</v>
      </c>
      <c r="Y3" s="13" t="s">
        <v>5</v>
      </c>
      <c r="Z3" s="12" t="s">
        <v>55</v>
      </c>
      <c r="AA3" s="12" t="s">
        <v>56</v>
      </c>
      <c r="AB3" s="12" t="s">
        <v>57</v>
      </c>
      <c r="AC3" s="12" t="s">
        <v>58</v>
      </c>
      <c r="AD3" s="11" t="s">
        <v>47</v>
      </c>
      <c r="AE3" s="11" t="s">
        <v>51</v>
      </c>
      <c r="AF3" s="11" t="s">
        <v>48</v>
      </c>
      <c r="AG3" s="11" t="s">
        <v>49</v>
      </c>
      <c r="AH3" s="10" t="s">
        <v>42</v>
      </c>
      <c r="AI3" s="10" t="s">
        <v>43</v>
      </c>
      <c r="AJ3" s="9" t="s">
        <v>45</v>
      </c>
      <c r="AK3" s="114" t="s">
        <v>46</v>
      </c>
      <c r="AL3" s="7" t="s">
        <v>53</v>
      </c>
      <c r="AM3" s="8" t="s">
        <v>109</v>
      </c>
      <c r="AN3" s="30"/>
    </row>
    <row r="4" spans="1:40" ht="15.75" customHeight="1">
      <c r="A4" s="60">
        <v>1</v>
      </c>
      <c r="B4" s="61"/>
      <c r="C4" s="69" t="s">
        <v>77</v>
      </c>
      <c r="D4" s="70">
        <v>43962</v>
      </c>
      <c r="E4" s="71" t="s">
        <v>79</v>
      </c>
      <c r="F4" s="62"/>
      <c r="G4" s="62" t="s">
        <v>81</v>
      </c>
      <c r="H4" s="60" t="s">
        <v>86</v>
      </c>
      <c r="I4" s="72">
        <v>32640</v>
      </c>
      <c r="J4" s="73" t="s">
        <v>82</v>
      </c>
      <c r="K4" s="74" t="s">
        <v>87</v>
      </c>
      <c r="L4" s="70">
        <v>44556</v>
      </c>
      <c r="M4" s="75" t="s">
        <v>90</v>
      </c>
      <c r="N4" s="75" t="s">
        <v>90</v>
      </c>
      <c r="O4" s="62" t="s">
        <v>93</v>
      </c>
      <c r="P4" s="62" t="s">
        <v>94</v>
      </c>
      <c r="Q4" s="62" t="s">
        <v>95</v>
      </c>
      <c r="R4" s="62" t="s">
        <v>96</v>
      </c>
      <c r="S4" s="62"/>
      <c r="T4" s="76" t="s">
        <v>97</v>
      </c>
      <c r="U4" s="77" t="s">
        <v>99</v>
      </c>
      <c r="V4" s="62"/>
      <c r="W4" s="62"/>
      <c r="X4" s="109"/>
      <c r="Y4" s="62"/>
      <c r="Z4" s="60" t="s">
        <v>444</v>
      </c>
      <c r="AA4" s="60" t="s">
        <v>444</v>
      </c>
      <c r="AB4" s="60" t="s">
        <v>444</v>
      </c>
      <c r="AC4" s="62"/>
      <c r="AD4" s="62" t="s">
        <v>102</v>
      </c>
      <c r="AE4" s="62"/>
      <c r="AF4" s="78"/>
      <c r="AG4" s="61"/>
      <c r="AH4" s="61" t="s">
        <v>104</v>
      </c>
      <c r="AI4" s="62" t="s">
        <v>105</v>
      </c>
      <c r="AJ4" s="63" t="str">
        <f>K4</f>
        <v>079189000698</v>
      </c>
      <c r="AK4" s="60">
        <v>2</v>
      </c>
      <c r="AL4" s="61" t="s">
        <v>106</v>
      </c>
      <c r="AM4" s="116" t="s">
        <v>108</v>
      </c>
      <c r="AN4" s="61"/>
    </row>
    <row r="5" spans="1:40" s="1" customFormat="1" ht="16.5" customHeight="1">
      <c r="A5" s="3">
        <f>A4+1</f>
        <v>2</v>
      </c>
      <c r="B5" s="4"/>
      <c r="C5" s="80" t="s">
        <v>78</v>
      </c>
      <c r="D5" s="81">
        <v>45103</v>
      </c>
      <c r="E5" s="53" t="s">
        <v>80</v>
      </c>
      <c r="G5" s="1" t="s">
        <v>81</v>
      </c>
      <c r="H5" s="3" t="s">
        <v>86</v>
      </c>
      <c r="I5" s="82" t="s">
        <v>83</v>
      </c>
      <c r="J5" s="83" t="s">
        <v>84</v>
      </c>
      <c r="K5" s="84" t="s">
        <v>88</v>
      </c>
      <c r="L5" s="85" t="s">
        <v>89</v>
      </c>
      <c r="M5" s="86" t="s">
        <v>91</v>
      </c>
      <c r="N5" s="58" t="s">
        <v>92</v>
      </c>
      <c r="O5" s="1" t="s">
        <v>93</v>
      </c>
      <c r="P5" s="1" t="s">
        <v>94</v>
      </c>
      <c r="Q5" s="1" t="s">
        <v>203</v>
      </c>
      <c r="R5" s="1" t="s">
        <v>96</v>
      </c>
      <c r="T5" s="87" t="s">
        <v>98</v>
      </c>
      <c r="U5" s="84" t="s">
        <v>100</v>
      </c>
      <c r="X5" s="108"/>
      <c r="Z5" s="60" t="s">
        <v>444</v>
      </c>
      <c r="AA5" s="60" t="s">
        <v>444</v>
      </c>
      <c r="AB5" s="60" t="s">
        <v>444</v>
      </c>
      <c r="AD5" s="1" t="s">
        <v>103</v>
      </c>
      <c r="AF5" s="4"/>
      <c r="AG5" s="23"/>
      <c r="AH5" s="4" t="s">
        <v>257</v>
      </c>
      <c r="AI5" s="62" t="s">
        <v>105</v>
      </c>
      <c r="AJ5" s="59" t="str">
        <f>K5</f>
        <v>087198012829</v>
      </c>
      <c r="AK5" s="3">
        <v>0</v>
      </c>
      <c r="AL5" s="4" t="s">
        <v>107</v>
      </c>
      <c r="AM5" s="117" t="s">
        <v>108</v>
      </c>
      <c r="AN5" s="4"/>
    </row>
    <row r="6" spans="1:40" s="79" customFormat="1" ht="15.75">
      <c r="A6" s="3">
        <f t="shared" ref="A6:A18" si="0">A5+1</f>
        <v>3</v>
      </c>
      <c r="C6" s="64" t="s">
        <v>110</v>
      </c>
      <c r="D6" s="67">
        <v>43962</v>
      </c>
      <c r="E6" s="88" t="s">
        <v>131</v>
      </c>
      <c r="G6" s="91" t="s">
        <v>134</v>
      </c>
      <c r="H6" s="3" t="s">
        <v>86</v>
      </c>
      <c r="I6" s="93">
        <v>36049</v>
      </c>
      <c r="J6" s="95" t="s">
        <v>145</v>
      </c>
      <c r="K6" s="97" t="s">
        <v>155</v>
      </c>
      <c r="L6" s="67">
        <v>44888</v>
      </c>
      <c r="M6" s="57" t="s">
        <v>178</v>
      </c>
      <c r="N6" s="57" t="s">
        <v>191</v>
      </c>
      <c r="O6" s="1" t="s">
        <v>93</v>
      </c>
      <c r="P6" s="1" t="s">
        <v>94</v>
      </c>
      <c r="Q6" s="1" t="s">
        <v>203</v>
      </c>
      <c r="R6" s="1" t="s">
        <v>96</v>
      </c>
      <c r="S6" s="105" t="s">
        <v>216</v>
      </c>
      <c r="T6" s="102" t="s">
        <v>204</v>
      </c>
      <c r="U6" s="107" t="s">
        <v>219</v>
      </c>
      <c r="W6" s="62" t="s">
        <v>232</v>
      </c>
      <c r="X6" s="109" t="s">
        <v>235</v>
      </c>
      <c r="Z6" s="60" t="s">
        <v>444</v>
      </c>
      <c r="AA6" s="60" t="s">
        <v>444</v>
      </c>
      <c r="AB6" s="60" t="s">
        <v>444</v>
      </c>
      <c r="AD6" s="62" t="s">
        <v>102</v>
      </c>
      <c r="AH6" s="110" t="s">
        <v>253</v>
      </c>
      <c r="AI6" s="62" t="s">
        <v>105</v>
      </c>
      <c r="AJ6" s="59" t="str">
        <f t="shared" ref="AJ6:AJ17" si="1">K6</f>
        <v>068198003104</v>
      </c>
      <c r="AK6" s="3">
        <v>0</v>
      </c>
      <c r="AL6" s="111" t="s">
        <v>262</v>
      </c>
      <c r="AM6" s="112" t="s">
        <v>270</v>
      </c>
    </row>
    <row r="7" spans="1:40" s="1" customFormat="1" ht="15.75">
      <c r="A7" s="3">
        <f t="shared" si="0"/>
        <v>4</v>
      </c>
      <c r="C7" s="65" t="s">
        <v>111</v>
      </c>
      <c r="D7" s="67">
        <v>44259</v>
      </c>
      <c r="E7" s="88" t="s">
        <v>131</v>
      </c>
      <c r="G7" s="88" t="s">
        <v>134</v>
      </c>
      <c r="H7" s="3" t="s">
        <v>86</v>
      </c>
      <c r="I7" s="93">
        <v>35294</v>
      </c>
      <c r="J7" s="95" t="s">
        <v>74</v>
      </c>
      <c r="K7" s="98" t="s">
        <v>156</v>
      </c>
      <c r="L7" s="67">
        <v>44375</v>
      </c>
      <c r="M7" s="57" t="s">
        <v>179</v>
      </c>
      <c r="N7" s="57" t="s">
        <v>179</v>
      </c>
      <c r="O7" s="1" t="s">
        <v>93</v>
      </c>
      <c r="P7" s="1" t="s">
        <v>94</v>
      </c>
      <c r="Q7" s="1" t="s">
        <v>203</v>
      </c>
      <c r="R7" s="1" t="s">
        <v>96</v>
      </c>
      <c r="S7" s="105" t="s">
        <v>217</v>
      </c>
      <c r="T7" s="102" t="s">
        <v>205</v>
      </c>
      <c r="U7" s="107" t="s">
        <v>220</v>
      </c>
      <c r="W7" s="1" t="s">
        <v>233</v>
      </c>
      <c r="X7" s="109" t="s">
        <v>236</v>
      </c>
      <c r="Z7" s="60" t="s">
        <v>444</v>
      </c>
      <c r="AA7" s="60" t="s">
        <v>444</v>
      </c>
      <c r="AB7" s="60" t="s">
        <v>444</v>
      </c>
      <c r="AD7" s="62" t="s">
        <v>102</v>
      </c>
      <c r="AH7" s="110" t="s">
        <v>254</v>
      </c>
      <c r="AI7" s="62" t="s">
        <v>105</v>
      </c>
      <c r="AJ7" s="59" t="str">
        <f t="shared" si="1"/>
        <v>066196019114</v>
      </c>
      <c r="AK7" s="3">
        <v>0</v>
      </c>
      <c r="AL7" s="111" t="s">
        <v>263</v>
      </c>
      <c r="AM7" s="113" t="s">
        <v>271</v>
      </c>
    </row>
    <row r="8" spans="1:40" s="1" customFormat="1" ht="15.75">
      <c r="A8" s="3">
        <f t="shared" si="0"/>
        <v>5</v>
      </c>
      <c r="C8" s="65" t="s">
        <v>112</v>
      </c>
      <c r="D8" s="67">
        <v>44298</v>
      </c>
      <c r="E8" s="89" t="s">
        <v>132</v>
      </c>
      <c r="F8" s="65" t="s">
        <v>111</v>
      </c>
      <c r="G8" s="88" t="s">
        <v>134</v>
      </c>
      <c r="H8" s="3" t="s">
        <v>86</v>
      </c>
      <c r="I8" s="93">
        <v>36869</v>
      </c>
      <c r="J8" s="95" t="s">
        <v>146</v>
      </c>
      <c r="K8" s="98" t="s">
        <v>157</v>
      </c>
      <c r="L8" s="99" t="s">
        <v>168</v>
      </c>
      <c r="M8" s="57" t="s">
        <v>180</v>
      </c>
      <c r="N8" s="57" t="s">
        <v>192</v>
      </c>
      <c r="O8" s="1" t="s">
        <v>93</v>
      </c>
      <c r="P8" s="1" t="s">
        <v>94</v>
      </c>
      <c r="Q8" s="1" t="s">
        <v>203</v>
      </c>
      <c r="R8" s="1" t="s">
        <v>96</v>
      </c>
      <c r="S8" s="106" t="s">
        <v>218</v>
      </c>
      <c r="T8" s="64"/>
      <c r="U8" s="107" t="s">
        <v>221</v>
      </c>
      <c r="W8" s="79"/>
      <c r="X8" s="108"/>
      <c r="Z8" s="60" t="s">
        <v>444</v>
      </c>
      <c r="AA8" s="60" t="s">
        <v>444</v>
      </c>
      <c r="AB8" s="60" t="s">
        <v>444</v>
      </c>
      <c r="AD8" s="1" t="s">
        <v>103</v>
      </c>
      <c r="AH8" s="110" t="s">
        <v>255</v>
      </c>
      <c r="AI8" s="62" t="s">
        <v>105</v>
      </c>
      <c r="AJ8" s="59" t="str">
        <f t="shared" si="1"/>
        <v>070300006786</v>
      </c>
      <c r="AK8" s="3">
        <v>0</v>
      </c>
      <c r="AL8" s="111" t="s">
        <v>264</v>
      </c>
      <c r="AM8" s="113" t="s">
        <v>272</v>
      </c>
    </row>
    <row r="9" spans="1:40" s="1" customFormat="1" ht="15.75">
      <c r="A9" s="3">
        <f t="shared" si="0"/>
        <v>6</v>
      </c>
      <c r="C9" s="66" t="s">
        <v>113</v>
      </c>
      <c r="D9" s="68" t="s">
        <v>123</v>
      </c>
      <c r="E9" s="90" t="s">
        <v>132</v>
      </c>
      <c r="F9" s="65" t="s">
        <v>111</v>
      </c>
      <c r="G9" s="92" t="s">
        <v>134</v>
      </c>
      <c r="H9" s="3" t="s">
        <v>86</v>
      </c>
      <c r="I9" s="94" t="s">
        <v>135</v>
      </c>
      <c r="J9" s="96" t="s">
        <v>147</v>
      </c>
      <c r="K9" s="68" t="s">
        <v>158</v>
      </c>
      <c r="L9" s="94" t="s">
        <v>169</v>
      </c>
      <c r="M9" s="100" t="s">
        <v>181</v>
      </c>
      <c r="N9" s="66" t="s">
        <v>193</v>
      </c>
      <c r="O9" s="1" t="s">
        <v>93</v>
      </c>
      <c r="P9" s="1" t="s">
        <v>94</v>
      </c>
      <c r="Q9" s="1" t="s">
        <v>203</v>
      </c>
      <c r="R9" s="1" t="s">
        <v>96</v>
      </c>
      <c r="S9" s="66"/>
      <c r="T9" s="103" t="s">
        <v>206</v>
      </c>
      <c r="U9" s="68" t="s">
        <v>222</v>
      </c>
      <c r="W9" s="1" t="s">
        <v>234</v>
      </c>
      <c r="X9" s="68" t="s">
        <v>237</v>
      </c>
      <c r="Z9" s="60" t="s">
        <v>444</v>
      </c>
      <c r="AA9" s="60" t="s">
        <v>444</v>
      </c>
      <c r="AB9" s="60" t="s">
        <v>444</v>
      </c>
      <c r="AD9" s="1" t="s">
        <v>246</v>
      </c>
      <c r="AH9" s="110" t="s">
        <v>256</v>
      </c>
      <c r="AI9" s="62" t="s">
        <v>105</v>
      </c>
      <c r="AJ9" s="59" t="str">
        <f t="shared" si="1"/>
        <v>079303016136</v>
      </c>
      <c r="AK9" s="3">
        <v>0</v>
      </c>
      <c r="AL9" s="111" t="s">
        <v>265</v>
      </c>
      <c r="AM9" s="3"/>
    </row>
    <row r="10" spans="1:40" s="1" customFormat="1" ht="15.75">
      <c r="A10" s="3">
        <f t="shared" si="0"/>
        <v>7</v>
      </c>
      <c r="C10" s="66" t="s">
        <v>114</v>
      </c>
      <c r="D10" s="68" t="s">
        <v>124</v>
      </c>
      <c r="E10" s="90" t="s">
        <v>132</v>
      </c>
      <c r="F10" s="64" t="s">
        <v>110</v>
      </c>
      <c r="G10" s="92" t="s">
        <v>134</v>
      </c>
      <c r="H10" s="3" t="s">
        <v>86</v>
      </c>
      <c r="I10" s="94" t="s">
        <v>136</v>
      </c>
      <c r="J10" s="96" t="s">
        <v>148</v>
      </c>
      <c r="K10" s="68" t="s">
        <v>159</v>
      </c>
      <c r="L10" s="94" t="s">
        <v>170</v>
      </c>
      <c r="M10" s="100" t="s">
        <v>182</v>
      </c>
      <c r="N10" s="66" t="s">
        <v>194</v>
      </c>
      <c r="O10" s="1" t="s">
        <v>93</v>
      </c>
      <c r="P10" s="1" t="s">
        <v>94</v>
      </c>
      <c r="Q10" s="1" t="s">
        <v>203</v>
      </c>
      <c r="R10" s="1" t="s">
        <v>96</v>
      </c>
      <c r="T10" s="104" t="s">
        <v>207</v>
      </c>
      <c r="U10" s="68" t="s">
        <v>223</v>
      </c>
      <c r="W10" s="1" t="s">
        <v>232</v>
      </c>
      <c r="X10" s="68" t="s">
        <v>238</v>
      </c>
      <c r="Z10" s="60" t="s">
        <v>444</v>
      </c>
      <c r="AA10" s="60" t="s">
        <v>444</v>
      </c>
      <c r="AB10" s="60" t="s">
        <v>444</v>
      </c>
      <c r="AD10" s="1" t="s">
        <v>73</v>
      </c>
      <c r="AF10" s="4" t="s">
        <v>247</v>
      </c>
      <c r="AG10" s="4" t="s">
        <v>249</v>
      </c>
      <c r="AH10" s="68" t="s">
        <v>258</v>
      </c>
      <c r="AI10" s="62" t="s">
        <v>105</v>
      </c>
      <c r="AJ10" s="59" t="str">
        <f t="shared" si="1"/>
        <v>056303004617</v>
      </c>
      <c r="AK10" s="3">
        <v>0</v>
      </c>
      <c r="AL10" s="111" t="s">
        <v>266</v>
      </c>
      <c r="AM10" s="3"/>
    </row>
    <row r="11" spans="1:40" s="1" customFormat="1" ht="15.75">
      <c r="A11" s="3">
        <f t="shared" si="0"/>
        <v>8</v>
      </c>
      <c r="C11" s="66" t="s">
        <v>115</v>
      </c>
      <c r="D11" s="68" t="s">
        <v>125</v>
      </c>
      <c r="E11" s="90" t="s">
        <v>132</v>
      </c>
      <c r="F11" s="64" t="s">
        <v>110</v>
      </c>
      <c r="G11" s="92" t="s">
        <v>134</v>
      </c>
      <c r="H11" s="3" t="s">
        <v>86</v>
      </c>
      <c r="I11" s="94" t="s">
        <v>137</v>
      </c>
      <c r="J11" s="96" t="s">
        <v>149</v>
      </c>
      <c r="K11" s="68" t="s">
        <v>160</v>
      </c>
      <c r="L11" s="94" t="s">
        <v>171</v>
      </c>
      <c r="M11" s="100" t="s">
        <v>183</v>
      </c>
      <c r="N11" s="66" t="s">
        <v>195</v>
      </c>
      <c r="O11" s="1" t="s">
        <v>93</v>
      </c>
      <c r="P11" s="1" t="s">
        <v>94</v>
      </c>
      <c r="Q11" s="1" t="s">
        <v>203</v>
      </c>
      <c r="R11" s="1" t="s">
        <v>96</v>
      </c>
      <c r="T11" s="104" t="s">
        <v>208</v>
      </c>
      <c r="U11" s="68" t="s">
        <v>224</v>
      </c>
      <c r="W11" s="1" t="s">
        <v>233</v>
      </c>
      <c r="X11" s="68" t="s">
        <v>239</v>
      </c>
      <c r="Z11" s="60" t="s">
        <v>444</v>
      </c>
      <c r="AA11" s="60" t="s">
        <v>444</v>
      </c>
      <c r="AB11" s="60" t="s">
        <v>444</v>
      </c>
      <c r="AD11" s="1" t="s">
        <v>73</v>
      </c>
      <c r="AF11" s="68" t="s">
        <v>125</v>
      </c>
      <c r="AG11" s="4" t="s">
        <v>248</v>
      </c>
      <c r="AH11" s="68" t="s">
        <v>259</v>
      </c>
      <c r="AI11" s="62" t="s">
        <v>105</v>
      </c>
      <c r="AJ11" s="59" t="str">
        <f t="shared" si="1"/>
        <v>052303001138</v>
      </c>
      <c r="AK11" s="3">
        <v>0</v>
      </c>
      <c r="AL11" s="111" t="s">
        <v>267</v>
      </c>
      <c r="AM11" s="3"/>
    </row>
    <row r="12" spans="1:40" s="1" customFormat="1" ht="15.75">
      <c r="A12" s="3">
        <f t="shared" si="0"/>
        <v>9</v>
      </c>
      <c r="C12" s="66" t="s">
        <v>116</v>
      </c>
      <c r="D12" s="68" t="s">
        <v>125</v>
      </c>
      <c r="E12" s="90" t="s">
        <v>132</v>
      </c>
      <c r="F12" s="64" t="s">
        <v>110</v>
      </c>
      <c r="G12" s="92" t="s">
        <v>134</v>
      </c>
      <c r="H12" s="3" t="s">
        <v>86</v>
      </c>
      <c r="I12" s="94" t="s">
        <v>138</v>
      </c>
      <c r="J12" s="96" t="s">
        <v>150</v>
      </c>
      <c r="K12" s="68" t="s">
        <v>161</v>
      </c>
      <c r="L12" s="94" t="s">
        <v>172</v>
      </c>
      <c r="M12" s="100" t="s">
        <v>184</v>
      </c>
      <c r="N12" s="101" t="s">
        <v>196</v>
      </c>
      <c r="O12" s="1" t="s">
        <v>93</v>
      </c>
      <c r="P12" s="1" t="s">
        <v>94</v>
      </c>
      <c r="Q12" s="1" t="s">
        <v>203</v>
      </c>
      <c r="R12" s="1" t="s">
        <v>96</v>
      </c>
      <c r="T12" s="104" t="s">
        <v>209</v>
      </c>
      <c r="U12" s="68" t="s">
        <v>225</v>
      </c>
      <c r="X12" s="68"/>
      <c r="Z12" s="60" t="s">
        <v>444</v>
      </c>
      <c r="AA12" s="60" t="s">
        <v>444</v>
      </c>
      <c r="AB12" s="60" t="s">
        <v>444</v>
      </c>
      <c r="AD12" s="1" t="s">
        <v>73</v>
      </c>
      <c r="AF12" s="68" t="s">
        <v>125</v>
      </c>
      <c r="AG12" s="4" t="s">
        <v>248</v>
      </c>
      <c r="AH12" s="68" t="s">
        <v>260</v>
      </c>
      <c r="AI12" s="62" t="s">
        <v>105</v>
      </c>
      <c r="AJ12" s="59" t="str">
        <f t="shared" si="1"/>
        <v>072303002773</v>
      </c>
      <c r="AK12" s="3">
        <v>0</v>
      </c>
      <c r="AL12" s="111" t="s">
        <v>268</v>
      </c>
      <c r="AM12" s="3"/>
    </row>
    <row r="13" spans="1:40" s="1" customFormat="1" ht="15.75">
      <c r="A13" s="3">
        <f t="shared" si="0"/>
        <v>10</v>
      </c>
      <c r="C13" s="66" t="s">
        <v>117</v>
      </c>
      <c r="D13" s="68" t="s">
        <v>126</v>
      </c>
      <c r="E13" s="90" t="s">
        <v>132</v>
      </c>
      <c r="F13" s="64" t="s">
        <v>110</v>
      </c>
      <c r="G13" s="92" t="s">
        <v>134</v>
      </c>
      <c r="H13" s="3" t="s">
        <v>86</v>
      </c>
      <c r="I13" s="94" t="s">
        <v>139</v>
      </c>
      <c r="J13" s="96" t="s">
        <v>151</v>
      </c>
      <c r="K13" s="68" t="s">
        <v>162</v>
      </c>
      <c r="L13" s="94" t="s">
        <v>173</v>
      </c>
      <c r="M13" s="100" t="s">
        <v>185</v>
      </c>
      <c r="N13" s="66" t="s">
        <v>197</v>
      </c>
      <c r="O13" s="1" t="s">
        <v>93</v>
      </c>
      <c r="P13" s="1" t="s">
        <v>94</v>
      </c>
      <c r="Q13" s="1" t="s">
        <v>203</v>
      </c>
      <c r="R13" s="1" t="s">
        <v>96</v>
      </c>
      <c r="T13" s="104" t="s">
        <v>210</v>
      </c>
      <c r="U13" s="68" t="s">
        <v>226</v>
      </c>
      <c r="W13" s="1" t="s">
        <v>232</v>
      </c>
      <c r="X13" s="68" t="s">
        <v>240</v>
      </c>
      <c r="Z13" s="60" t="s">
        <v>444</v>
      </c>
      <c r="AA13" s="60" t="s">
        <v>444</v>
      </c>
      <c r="AB13" s="60" t="s">
        <v>444</v>
      </c>
      <c r="AD13" s="1" t="s">
        <v>73</v>
      </c>
      <c r="AF13" s="68" t="s">
        <v>126</v>
      </c>
      <c r="AG13" s="4" t="s">
        <v>250</v>
      </c>
      <c r="AH13" s="68" t="s">
        <v>261</v>
      </c>
      <c r="AI13" s="62" t="s">
        <v>105</v>
      </c>
      <c r="AJ13" s="59" t="str">
        <f t="shared" si="1"/>
        <v>054302008885</v>
      </c>
      <c r="AK13" s="3">
        <v>0</v>
      </c>
      <c r="AL13" s="111" t="s">
        <v>269</v>
      </c>
      <c r="AM13" s="3"/>
    </row>
    <row r="14" spans="1:40" s="1" customFormat="1" ht="15.75">
      <c r="A14" s="3">
        <f t="shared" si="0"/>
        <v>11</v>
      </c>
      <c r="C14" s="66" t="s">
        <v>118</v>
      </c>
      <c r="D14" s="68" t="s">
        <v>127</v>
      </c>
      <c r="E14" s="90" t="s">
        <v>133</v>
      </c>
      <c r="F14" s="66" t="s">
        <v>113</v>
      </c>
      <c r="G14" s="92" t="s">
        <v>134</v>
      </c>
      <c r="H14" s="3" t="s">
        <v>86</v>
      </c>
      <c r="I14" s="94" t="s">
        <v>140</v>
      </c>
      <c r="J14" s="96" t="s">
        <v>149</v>
      </c>
      <c r="K14" s="68" t="s">
        <v>163</v>
      </c>
      <c r="L14" s="94" t="s">
        <v>170</v>
      </c>
      <c r="M14" s="100" t="s">
        <v>186</v>
      </c>
      <c r="N14" s="66" t="s">
        <v>198</v>
      </c>
      <c r="O14" s="1" t="s">
        <v>93</v>
      </c>
      <c r="P14" s="1" t="s">
        <v>94</v>
      </c>
      <c r="Q14" s="1" t="s">
        <v>203</v>
      </c>
      <c r="R14" s="1" t="s">
        <v>96</v>
      </c>
      <c r="T14" s="104" t="s">
        <v>211</v>
      </c>
      <c r="U14" s="68" t="s">
        <v>227</v>
      </c>
      <c r="W14" s="1" t="s">
        <v>232</v>
      </c>
      <c r="X14" s="68" t="s">
        <v>241</v>
      </c>
      <c r="Z14" s="60" t="s">
        <v>444</v>
      </c>
      <c r="AA14" s="60" t="s">
        <v>444</v>
      </c>
      <c r="AB14" s="60" t="s">
        <v>444</v>
      </c>
      <c r="AH14" s="68"/>
      <c r="AI14" s="62" t="s">
        <v>105</v>
      </c>
      <c r="AJ14" s="59" t="str">
        <f t="shared" si="1"/>
        <v>052304008113</v>
      </c>
      <c r="AK14" s="3">
        <v>0</v>
      </c>
      <c r="AM14" s="3"/>
    </row>
    <row r="15" spans="1:40" s="1" customFormat="1" ht="15.75">
      <c r="A15" s="3">
        <f t="shared" si="0"/>
        <v>12</v>
      </c>
      <c r="C15" s="66" t="s">
        <v>119</v>
      </c>
      <c r="D15" s="68" t="s">
        <v>127</v>
      </c>
      <c r="E15" s="90" t="s">
        <v>133</v>
      </c>
      <c r="F15" s="66" t="s">
        <v>113</v>
      </c>
      <c r="G15" s="92" t="s">
        <v>134</v>
      </c>
      <c r="H15" s="3" t="s">
        <v>86</v>
      </c>
      <c r="I15" s="94" t="s">
        <v>141</v>
      </c>
      <c r="J15" s="96" t="s">
        <v>152</v>
      </c>
      <c r="K15" s="68" t="s">
        <v>164</v>
      </c>
      <c r="L15" s="94" t="s">
        <v>174</v>
      </c>
      <c r="M15" s="100" t="s">
        <v>187</v>
      </c>
      <c r="N15" s="101" t="s">
        <v>199</v>
      </c>
      <c r="O15" s="1" t="s">
        <v>93</v>
      </c>
      <c r="P15" s="1" t="s">
        <v>94</v>
      </c>
      <c r="Q15" s="1" t="s">
        <v>203</v>
      </c>
      <c r="R15" s="1" t="s">
        <v>96</v>
      </c>
      <c r="T15" s="104" t="s">
        <v>212</v>
      </c>
      <c r="U15" s="68" t="s">
        <v>228</v>
      </c>
      <c r="W15" s="1" t="s">
        <v>232</v>
      </c>
      <c r="X15" s="68" t="s">
        <v>242</v>
      </c>
      <c r="Z15" s="60" t="s">
        <v>444</v>
      </c>
      <c r="AA15" s="60" t="s">
        <v>444</v>
      </c>
      <c r="AB15" s="60" t="s">
        <v>444</v>
      </c>
      <c r="AI15" s="62" t="s">
        <v>105</v>
      </c>
      <c r="AJ15" s="59" t="str">
        <f t="shared" si="1"/>
        <v>060305013564</v>
      </c>
      <c r="AK15" s="3">
        <v>0</v>
      </c>
      <c r="AM15" s="3"/>
    </row>
    <row r="16" spans="1:40" s="1" customFormat="1" ht="15.75">
      <c r="A16" s="3">
        <f t="shared" si="0"/>
        <v>13</v>
      </c>
      <c r="C16" s="66" t="s">
        <v>120</v>
      </c>
      <c r="D16" s="68" t="s">
        <v>128</v>
      </c>
      <c r="E16" s="90" t="s">
        <v>132</v>
      </c>
      <c r="F16" s="65" t="s">
        <v>111</v>
      </c>
      <c r="G16" s="92" t="s">
        <v>134</v>
      </c>
      <c r="H16" s="3" t="s">
        <v>86</v>
      </c>
      <c r="I16" s="94" t="s">
        <v>142</v>
      </c>
      <c r="J16" s="96" t="s">
        <v>145</v>
      </c>
      <c r="K16" s="68" t="s">
        <v>165</v>
      </c>
      <c r="L16" s="94" t="s">
        <v>175</v>
      </c>
      <c r="M16" s="100" t="s">
        <v>188</v>
      </c>
      <c r="N16" s="66" t="s">
        <v>200</v>
      </c>
      <c r="O16" s="1" t="s">
        <v>93</v>
      </c>
      <c r="P16" s="1" t="s">
        <v>94</v>
      </c>
      <c r="Q16" s="1" t="s">
        <v>203</v>
      </c>
      <c r="R16" s="1" t="s">
        <v>96</v>
      </c>
      <c r="T16" s="104" t="s">
        <v>213</v>
      </c>
      <c r="U16" s="68" t="s">
        <v>229</v>
      </c>
      <c r="W16" s="1" t="s">
        <v>101</v>
      </c>
      <c r="X16" s="68" t="s">
        <v>243</v>
      </c>
      <c r="Z16" s="60" t="s">
        <v>444</v>
      </c>
      <c r="AA16" s="60" t="s">
        <v>444</v>
      </c>
      <c r="AB16" s="60" t="s">
        <v>444</v>
      </c>
      <c r="AD16" s="1" t="s">
        <v>73</v>
      </c>
      <c r="AF16" s="68" t="s">
        <v>128</v>
      </c>
      <c r="AG16" s="4" t="s">
        <v>251</v>
      </c>
      <c r="AI16" s="62" t="s">
        <v>105</v>
      </c>
      <c r="AJ16" s="59" t="str">
        <f t="shared" si="1"/>
        <v>068304006170</v>
      </c>
      <c r="AK16" s="3">
        <v>0</v>
      </c>
      <c r="AM16" s="3"/>
    </row>
    <row r="17" spans="1:39" s="1" customFormat="1" ht="15.75">
      <c r="A17" s="3">
        <f t="shared" si="0"/>
        <v>14</v>
      </c>
      <c r="C17" s="66" t="s">
        <v>121</v>
      </c>
      <c r="D17" s="68" t="s">
        <v>129</v>
      </c>
      <c r="E17" s="90" t="s">
        <v>132</v>
      </c>
      <c r="F17" s="65" t="s">
        <v>111</v>
      </c>
      <c r="G17" s="92" t="s">
        <v>134</v>
      </c>
      <c r="H17" s="3" t="s">
        <v>86</v>
      </c>
      <c r="I17" s="94" t="s">
        <v>143</v>
      </c>
      <c r="J17" s="96" t="s">
        <v>153</v>
      </c>
      <c r="K17" s="68" t="s">
        <v>166</v>
      </c>
      <c r="L17" s="94" t="s">
        <v>176</v>
      </c>
      <c r="M17" s="100" t="s">
        <v>189</v>
      </c>
      <c r="N17" s="66" t="s">
        <v>201</v>
      </c>
      <c r="O17" s="1" t="s">
        <v>93</v>
      </c>
      <c r="P17" s="1" t="s">
        <v>94</v>
      </c>
      <c r="Q17" s="1" t="s">
        <v>203</v>
      </c>
      <c r="R17" s="1" t="s">
        <v>96</v>
      </c>
      <c r="T17" s="104" t="s">
        <v>214</v>
      </c>
      <c r="U17" s="68" t="s">
        <v>230</v>
      </c>
      <c r="W17" s="1" t="s">
        <v>75</v>
      </c>
      <c r="X17" s="68" t="s">
        <v>244</v>
      </c>
      <c r="Z17" s="60" t="s">
        <v>444</v>
      </c>
      <c r="AA17" s="60" t="s">
        <v>444</v>
      </c>
      <c r="AB17" s="60" t="s">
        <v>444</v>
      </c>
      <c r="AD17" s="1" t="s">
        <v>73</v>
      </c>
      <c r="AF17" s="68" t="s">
        <v>129</v>
      </c>
      <c r="AG17" s="4" t="s">
        <v>252</v>
      </c>
      <c r="AI17" s="62" t="s">
        <v>105</v>
      </c>
      <c r="AJ17" s="59" t="str">
        <f t="shared" si="1"/>
        <v>083302009100</v>
      </c>
      <c r="AK17" s="3">
        <v>0</v>
      </c>
      <c r="AM17" s="3"/>
    </row>
    <row r="18" spans="1:39" s="1" customFormat="1" ht="15.75">
      <c r="A18" s="3">
        <f t="shared" si="0"/>
        <v>15</v>
      </c>
      <c r="C18" s="66" t="s">
        <v>122</v>
      </c>
      <c r="D18" s="68" t="s">
        <v>130</v>
      </c>
      <c r="E18" s="90" t="s">
        <v>133</v>
      </c>
      <c r="F18" s="66" t="s">
        <v>113</v>
      </c>
      <c r="G18" s="92" t="s">
        <v>134</v>
      </c>
      <c r="H18" s="3" t="s">
        <v>86</v>
      </c>
      <c r="I18" s="94" t="s">
        <v>144</v>
      </c>
      <c r="J18" s="96" t="s">
        <v>154</v>
      </c>
      <c r="K18" s="68" t="s">
        <v>167</v>
      </c>
      <c r="L18" s="94" t="s">
        <v>177</v>
      </c>
      <c r="M18" s="100" t="s">
        <v>190</v>
      </c>
      <c r="N18" s="101" t="s">
        <v>202</v>
      </c>
      <c r="O18" s="1" t="s">
        <v>93</v>
      </c>
      <c r="P18" s="1" t="s">
        <v>94</v>
      </c>
      <c r="Q18" s="1" t="s">
        <v>203</v>
      </c>
      <c r="R18" s="1" t="s">
        <v>96</v>
      </c>
      <c r="T18" s="104" t="s">
        <v>215</v>
      </c>
      <c r="U18" s="68" t="s">
        <v>231</v>
      </c>
      <c r="W18" s="1" t="s">
        <v>101</v>
      </c>
      <c r="X18" s="68" t="s">
        <v>245</v>
      </c>
      <c r="Z18" s="60" t="s">
        <v>444</v>
      </c>
      <c r="AA18" s="60" t="s">
        <v>444</v>
      </c>
      <c r="AB18" s="60" t="s">
        <v>444</v>
      </c>
      <c r="AK18" s="3"/>
      <c r="AM18" s="3"/>
    </row>
    <row r="19" spans="1:39" s="1" customFormat="1">
      <c r="AK19" s="3"/>
      <c r="AM19" s="3"/>
    </row>
    <row r="20" spans="1:39" s="1" customFormat="1">
      <c r="AK20" s="3"/>
      <c r="AM20" s="3"/>
    </row>
    <row r="21" spans="1:39" s="1" customFormat="1">
      <c r="AK21" s="3"/>
      <c r="AM21" s="3"/>
    </row>
    <row r="22" spans="1:39" s="1" customFormat="1">
      <c r="AK22" s="3"/>
      <c r="AM22" s="3"/>
    </row>
    <row r="23" spans="1:39" s="1" customFormat="1">
      <c r="AK23" s="3"/>
      <c r="AM23" s="3"/>
    </row>
    <row r="24" spans="1:39" s="1" customFormat="1">
      <c r="AK24" s="3"/>
      <c r="AM24" s="3"/>
    </row>
    <row r="25" spans="1:39" s="1" customFormat="1">
      <c r="AK25" s="3"/>
      <c r="AM25" s="3"/>
    </row>
    <row r="26" spans="1:39" s="1" customFormat="1">
      <c r="AK26" s="3"/>
      <c r="AM26" s="3"/>
    </row>
    <row r="27" spans="1:39" s="1" customFormat="1">
      <c r="AK27" s="3"/>
      <c r="AM27" s="3"/>
    </row>
    <row r="28" spans="1:39" s="1" customFormat="1">
      <c r="AK28" s="3"/>
      <c r="AM28" s="3"/>
    </row>
    <row r="29" spans="1:39" s="1" customFormat="1">
      <c r="AK29" s="3"/>
      <c r="AM29" s="3"/>
    </row>
    <row r="30" spans="1:39" s="1" customFormat="1">
      <c r="AK30" s="3"/>
      <c r="AM30" s="3"/>
    </row>
  </sheetData>
  <mergeCells count="15">
    <mergeCell ref="A2:A3"/>
    <mergeCell ref="B2:B3"/>
    <mergeCell ref="Z2:AC2"/>
    <mergeCell ref="AN2:AN3"/>
    <mergeCell ref="V2:Y2"/>
    <mergeCell ref="AH2:AI2"/>
    <mergeCell ref="AJ2:AK2"/>
    <mergeCell ref="AD2:AG2"/>
    <mergeCell ref="AL2:AM2"/>
    <mergeCell ref="G2:G3"/>
    <mergeCell ref="F2:F3"/>
    <mergeCell ref="E2:E3"/>
    <mergeCell ref="D2:D3"/>
    <mergeCell ref="C2:C3"/>
    <mergeCell ref="H2:U2"/>
  </mergeCells>
  <hyperlinks>
    <hyperlink ref="T4" r:id="rId1" xr:uid="{A440DF54-3FF8-4A60-968F-D597BC5CD8E3}"/>
    <hyperlink ref="T5" r:id="rId2" xr:uid="{C68B9DAA-3E5D-4226-924C-23D84531A897}"/>
    <hyperlink ref="U5" r:id="rId3" display="huynhbui158@gmail.com" xr:uid="{D3F2DEC0-A8F3-4E23-B239-36D9C106B157}"/>
    <hyperlink ref="T6" r:id="rId4" xr:uid="{4734A62C-9596-452D-ABB3-4944399AEF92}"/>
    <hyperlink ref="T7" r:id="rId5" xr:uid="{18A7A621-84E6-4A77-8E05-6CE17E410F5D}"/>
    <hyperlink ref="T9" r:id="rId6" xr:uid="{466B5712-0749-46FA-881E-0CCC983BFB01}"/>
    <hyperlink ref="T10" r:id="rId7" xr:uid="{AE8F8F3A-6DBB-4DA1-8580-585E76C5A223}"/>
    <hyperlink ref="T11" r:id="rId8" xr:uid="{FE108EAF-A0A3-488D-BF24-E1CEF1CA3666}"/>
    <hyperlink ref="T12" r:id="rId9" xr:uid="{6BC886A1-78E9-4FF8-BA46-642D95030FB2}"/>
    <hyperlink ref="T13" r:id="rId10" xr:uid="{9AB0D3D0-6ADB-4813-B178-0258CE586337}"/>
    <hyperlink ref="T15" r:id="rId11" xr:uid="{95210D62-3529-4159-A794-8488C68D844C}"/>
    <hyperlink ref="T14" r:id="rId12" xr:uid="{92150429-22E0-4060-B5FA-7D3128686532}"/>
    <hyperlink ref="T17" r:id="rId13" xr:uid="{37AF54F4-0740-4FFD-B9A3-29875B3F0BD8}"/>
    <hyperlink ref="T16" r:id="rId14" xr:uid="{9D3D8AFC-71B7-4119-97BF-5EC7F8A94A15}"/>
    <hyperlink ref="T18" r:id="rId15" xr:uid="{D5AA3E66-F44F-4693-8384-4AFC38BE0802}"/>
    <hyperlink ref="S8" r:id="rId16" xr:uid="{5210275D-3A28-4EA4-8787-7FC0448D738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2EEC-77E6-4939-8CAD-645984AC7E79}">
  <dimension ref="A2:AH24"/>
  <sheetViews>
    <sheetView workbookViewId="0">
      <selection activeCell="H29" sqref="H29"/>
    </sheetView>
  </sheetViews>
  <sheetFormatPr defaultRowHeight="15"/>
  <cols>
    <col min="2" max="2" width="26" customWidth="1"/>
    <col min="3" max="3" width="16" customWidth="1"/>
    <col min="4" max="4" width="20.28515625" customWidth="1"/>
    <col min="5" max="6" width="21.42578125" customWidth="1"/>
    <col min="7" max="7" width="18" customWidth="1"/>
    <col min="8" max="8" width="14.85546875" customWidth="1"/>
    <col min="9" max="9" width="16.42578125" customWidth="1"/>
    <col min="10" max="10" width="17.42578125" customWidth="1"/>
    <col min="11" max="11" width="48.28515625" customWidth="1"/>
    <col min="12" max="12" width="51.5703125" customWidth="1"/>
    <col min="13" max="13" width="18.42578125" customWidth="1"/>
    <col min="14" max="14" width="35.7109375" customWidth="1"/>
    <col min="15" max="15" width="22.140625" customWidth="1"/>
    <col min="17" max="17" width="19.140625" customWidth="1"/>
    <col min="19" max="19" width="19" customWidth="1"/>
    <col min="20" max="20" width="19.140625" customWidth="1"/>
    <col min="21" max="21" width="20.140625" customWidth="1"/>
    <col min="22" max="22" width="14.28515625" customWidth="1"/>
    <col min="28" max="31" width="13.85546875" customWidth="1"/>
    <col min="32" max="32" width="15.85546875" customWidth="1"/>
  </cols>
  <sheetData>
    <row r="2" spans="1:34">
      <c r="A2" s="25" t="s">
        <v>0</v>
      </c>
      <c r="B2" s="25" t="s">
        <v>1</v>
      </c>
      <c r="C2" s="25" t="s">
        <v>23</v>
      </c>
      <c r="D2" s="25" t="s">
        <v>24</v>
      </c>
      <c r="E2" s="25" t="s">
        <v>3</v>
      </c>
      <c r="F2" s="25" t="s">
        <v>25</v>
      </c>
      <c r="G2" s="25" t="s">
        <v>59</v>
      </c>
      <c r="H2" s="50" t="s">
        <v>38</v>
      </c>
      <c r="I2" s="50"/>
      <c r="J2" s="50"/>
      <c r="K2" s="50"/>
      <c r="L2" s="50"/>
      <c r="M2" s="50"/>
      <c r="N2" s="50"/>
      <c r="O2" s="41" t="s">
        <v>39</v>
      </c>
      <c r="P2" s="41"/>
      <c r="Q2" s="41"/>
      <c r="R2" s="41"/>
      <c r="S2" s="51" t="s">
        <v>50</v>
      </c>
      <c r="T2" s="51"/>
      <c r="U2" s="52"/>
      <c r="V2" s="42" t="s">
        <v>62</v>
      </c>
      <c r="W2" s="43"/>
      <c r="X2" s="43"/>
      <c r="Y2" s="43"/>
      <c r="Z2" s="43"/>
      <c r="AA2" s="43"/>
      <c r="AB2" s="44"/>
      <c r="AC2" s="45" t="s">
        <v>52</v>
      </c>
      <c r="AD2" s="46"/>
      <c r="AE2" s="46"/>
      <c r="AF2" s="47" t="s">
        <v>44</v>
      </c>
      <c r="AG2" s="48"/>
      <c r="AH2" s="49"/>
    </row>
    <row r="3" spans="1:34" s="17" customFormat="1" ht="75">
      <c r="A3" s="25"/>
      <c r="B3" s="25"/>
      <c r="C3" s="25"/>
      <c r="D3" s="25"/>
      <c r="E3" s="25"/>
      <c r="F3" s="25"/>
      <c r="G3" s="25"/>
      <c r="H3" s="16" t="s">
        <v>26</v>
      </c>
      <c r="I3" s="16" t="s">
        <v>4</v>
      </c>
      <c r="J3" s="16" t="s">
        <v>34</v>
      </c>
      <c r="K3" s="16" t="s">
        <v>28</v>
      </c>
      <c r="L3" s="16" t="s">
        <v>29</v>
      </c>
      <c r="M3" s="16" t="s">
        <v>6</v>
      </c>
      <c r="N3" s="16" t="s">
        <v>36</v>
      </c>
      <c r="O3" s="18" t="s">
        <v>1</v>
      </c>
      <c r="P3" s="18" t="s">
        <v>40</v>
      </c>
      <c r="Q3" s="18" t="s">
        <v>6</v>
      </c>
      <c r="R3" s="18" t="s">
        <v>5</v>
      </c>
      <c r="S3" s="19" t="s">
        <v>76</v>
      </c>
      <c r="T3" s="19" t="s">
        <v>48</v>
      </c>
      <c r="U3" s="19" t="s">
        <v>49</v>
      </c>
      <c r="V3" s="20" t="s">
        <v>63</v>
      </c>
      <c r="W3" s="20" t="s">
        <v>67</v>
      </c>
      <c r="X3" s="20" t="s">
        <v>64</v>
      </c>
      <c r="Y3" s="20" t="s">
        <v>65</v>
      </c>
      <c r="Z3" s="20" t="s">
        <v>66</v>
      </c>
      <c r="AA3" s="20" t="s">
        <v>69</v>
      </c>
      <c r="AB3" s="20" t="s">
        <v>58</v>
      </c>
      <c r="AC3" s="21" t="s">
        <v>53</v>
      </c>
      <c r="AD3" s="21" t="s">
        <v>68</v>
      </c>
      <c r="AE3" s="21" t="s">
        <v>70</v>
      </c>
      <c r="AF3" s="22" t="s">
        <v>45</v>
      </c>
      <c r="AG3" s="22" t="s">
        <v>71</v>
      </c>
      <c r="AH3" s="22" t="s">
        <v>72</v>
      </c>
    </row>
    <row r="4" spans="1:34" ht="15.75">
      <c r="A4" s="3">
        <v>1</v>
      </c>
      <c r="B4" s="1" t="s">
        <v>273</v>
      </c>
      <c r="C4" s="122" t="s">
        <v>292</v>
      </c>
      <c r="D4" s="129" t="s">
        <v>132</v>
      </c>
      <c r="E4" s="1"/>
      <c r="F4" s="131" t="s">
        <v>134</v>
      </c>
      <c r="G4" s="1">
        <f>'NHÂN VIÊN'!AN4</f>
        <v>0</v>
      </c>
      <c r="H4" s="133" t="s">
        <v>308</v>
      </c>
      <c r="I4" s="140" t="s">
        <v>322</v>
      </c>
      <c r="J4" s="140" t="s">
        <v>169</v>
      </c>
      <c r="K4" s="146" t="s">
        <v>355</v>
      </c>
      <c r="L4" s="146" t="s">
        <v>373</v>
      </c>
      <c r="M4" s="140" t="s">
        <v>389</v>
      </c>
      <c r="N4" s="151" t="s">
        <v>407</v>
      </c>
      <c r="O4" s="1">
        <f>'NHÂN VIÊN'!V4</f>
        <v>0</v>
      </c>
      <c r="P4" s="1" t="s">
        <v>101</v>
      </c>
      <c r="Q4" s="159" t="s">
        <v>430</v>
      </c>
      <c r="R4" s="1">
        <f>'NHÂN VIÊN'!Y4</f>
        <v>0</v>
      </c>
      <c r="S4" s="1">
        <f>'NHÂN VIÊN'!AE4</f>
        <v>0</v>
      </c>
      <c r="T4" s="24">
        <f>'NHÂN VIÊN'!AF4</f>
        <v>0</v>
      </c>
      <c r="U4" s="1">
        <f>'NHÂN VIÊN'!AG4</f>
        <v>0</v>
      </c>
      <c r="V4" s="3" t="s">
        <v>444</v>
      </c>
      <c r="W4" s="3" t="s">
        <v>444</v>
      </c>
      <c r="X4" s="3" t="s">
        <v>444</v>
      </c>
      <c r="Y4" s="3" t="s">
        <v>444</v>
      </c>
      <c r="Z4" s="3" t="s">
        <v>444</v>
      </c>
      <c r="AA4" s="3" t="s">
        <v>444</v>
      </c>
      <c r="AB4" s="1"/>
      <c r="AC4" s="1"/>
      <c r="AD4" s="1"/>
      <c r="AE4" s="1"/>
      <c r="AF4" s="1"/>
      <c r="AG4" s="1"/>
      <c r="AH4" s="1"/>
    </row>
    <row r="5" spans="1:34" ht="15.75">
      <c r="A5" s="3">
        <f>A4+1</f>
        <v>2</v>
      </c>
      <c r="B5" s="1" t="s">
        <v>274</v>
      </c>
      <c r="C5" s="122" t="s">
        <v>293</v>
      </c>
      <c r="D5" s="129" t="s">
        <v>133</v>
      </c>
      <c r="E5" s="1"/>
      <c r="F5" s="131" t="s">
        <v>134</v>
      </c>
      <c r="G5" s="1">
        <f>'NHÂN VIÊN'!AN5</f>
        <v>0</v>
      </c>
      <c r="H5" s="133" t="s">
        <v>309</v>
      </c>
      <c r="I5" s="140" t="s">
        <v>323</v>
      </c>
      <c r="J5" s="140" t="s">
        <v>340</v>
      </c>
      <c r="K5" s="146" t="s">
        <v>356</v>
      </c>
      <c r="L5" s="146" t="s">
        <v>374</v>
      </c>
      <c r="M5" s="140" t="s">
        <v>390</v>
      </c>
      <c r="N5" s="151" t="s">
        <v>408</v>
      </c>
      <c r="O5" s="1">
        <f>'NHÂN VIÊN'!V5</f>
        <v>0</v>
      </c>
      <c r="P5" s="1" t="s">
        <v>234</v>
      </c>
      <c r="Q5" s="159" t="s">
        <v>431</v>
      </c>
      <c r="R5" s="1">
        <f>'NHÂN VIÊN'!Y5</f>
        <v>0</v>
      </c>
      <c r="S5" s="1">
        <f>'NHÂN VIÊN'!AE5</f>
        <v>0</v>
      </c>
      <c r="T5" s="1">
        <f>'NHÂN VIÊN'!AF5</f>
        <v>0</v>
      </c>
      <c r="U5" s="1">
        <f>'NHÂN VIÊN'!AG5</f>
        <v>0</v>
      </c>
      <c r="V5" s="3" t="s">
        <v>444</v>
      </c>
      <c r="W5" s="3" t="s">
        <v>444</v>
      </c>
      <c r="X5" s="3" t="s">
        <v>444</v>
      </c>
      <c r="Y5" s="3" t="s">
        <v>444</v>
      </c>
      <c r="Z5" s="3" t="s">
        <v>444</v>
      </c>
      <c r="AA5" s="3" t="s">
        <v>444</v>
      </c>
      <c r="AB5" s="1"/>
      <c r="AC5" s="1"/>
      <c r="AD5" s="1"/>
      <c r="AE5" s="1"/>
      <c r="AF5" s="1"/>
      <c r="AG5" s="1"/>
      <c r="AH5" s="1"/>
    </row>
    <row r="6" spans="1:34" ht="15.75">
      <c r="A6" s="3">
        <f t="shared" ref="A6:A22" si="0">A5+1</f>
        <v>3</v>
      </c>
      <c r="B6" s="1" t="s">
        <v>275</v>
      </c>
      <c r="C6" s="122" t="s">
        <v>294</v>
      </c>
      <c r="D6" s="89" t="s">
        <v>132</v>
      </c>
      <c r="E6" s="1"/>
      <c r="F6" s="88" t="s">
        <v>134</v>
      </c>
      <c r="G6" s="1"/>
      <c r="H6" s="134">
        <v>36571</v>
      </c>
      <c r="I6" s="91" t="s">
        <v>324</v>
      </c>
      <c r="J6" s="145" t="s">
        <v>341</v>
      </c>
      <c r="K6" s="57" t="s">
        <v>357</v>
      </c>
      <c r="L6" s="57" t="s">
        <v>375</v>
      </c>
      <c r="M6" s="149" t="s">
        <v>400</v>
      </c>
      <c r="N6" s="102" t="s">
        <v>409</v>
      </c>
      <c r="O6" s="1"/>
      <c r="P6" s="1" t="s">
        <v>234</v>
      </c>
      <c r="Q6" s="109" t="s">
        <v>432</v>
      </c>
      <c r="R6" s="1"/>
      <c r="S6" s="1"/>
      <c r="T6" s="1"/>
      <c r="U6" s="1"/>
      <c r="V6" s="3" t="s">
        <v>444</v>
      </c>
      <c r="W6" s="3" t="s">
        <v>444</v>
      </c>
      <c r="X6" s="3" t="s">
        <v>444</v>
      </c>
      <c r="Y6" s="3" t="s">
        <v>444</v>
      </c>
      <c r="Z6" s="3" t="s">
        <v>444</v>
      </c>
      <c r="AA6" s="3" t="s">
        <v>444</v>
      </c>
      <c r="AB6" s="1"/>
      <c r="AC6" s="1"/>
      <c r="AD6" s="1"/>
      <c r="AE6" s="1"/>
      <c r="AF6" s="1"/>
      <c r="AG6" s="1"/>
      <c r="AH6" s="1"/>
    </row>
    <row r="7" spans="1:34" ht="15.75">
      <c r="A7" s="3">
        <f t="shared" si="0"/>
        <v>4</v>
      </c>
      <c r="B7" s="1" t="s">
        <v>276</v>
      </c>
      <c r="C7" s="67">
        <v>44613</v>
      </c>
      <c r="D7" s="130" t="s">
        <v>132</v>
      </c>
      <c r="E7" s="1"/>
      <c r="F7" s="132" t="s">
        <v>134</v>
      </c>
      <c r="G7" s="1"/>
      <c r="H7" s="135">
        <v>36654</v>
      </c>
      <c r="I7" s="141" t="s">
        <v>325</v>
      </c>
      <c r="J7" s="123" t="s">
        <v>342</v>
      </c>
      <c r="K7" s="75" t="s">
        <v>358</v>
      </c>
      <c r="L7" s="75" t="s">
        <v>376</v>
      </c>
      <c r="M7" s="150" t="s">
        <v>401</v>
      </c>
      <c r="N7" s="152" t="s">
        <v>410</v>
      </c>
      <c r="O7" s="1"/>
      <c r="P7" s="1"/>
      <c r="Q7" s="160"/>
      <c r="R7" s="1"/>
      <c r="S7" s="1"/>
      <c r="T7" s="1"/>
      <c r="U7" s="1"/>
      <c r="V7" s="3" t="s">
        <v>444</v>
      </c>
      <c r="W7" s="3" t="s">
        <v>444</v>
      </c>
      <c r="X7" s="3" t="s">
        <v>444</v>
      </c>
      <c r="Y7" s="3" t="s">
        <v>444</v>
      </c>
      <c r="Z7" s="3" t="s">
        <v>444</v>
      </c>
      <c r="AA7" s="3" t="s">
        <v>444</v>
      </c>
      <c r="AB7" s="1"/>
      <c r="AC7" s="1"/>
      <c r="AD7" s="1"/>
      <c r="AE7" s="1"/>
      <c r="AF7" s="1"/>
      <c r="AG7" s="1"/>
      <c r="AH7" s="1"/>
    </row>
    <row r="8" spans="1:34" ht="15.75">
      <c r="A8" s="3">
        <f t="shared" si="0"/>
        <v>5</v>
      </c>
      <c r="B8" s="1" t="s">
        <v>277</v>
      </c>
      <c r="C8" s="123">
        <v>44995</v>
      </c>
      <c r="D8" s="53" t="s">
        <v>304</v>
      </c>
      <c r="E8" s="1"/>
      <c r="F8" s="53" t="s">
        <v>306</v>
      </c>
      <c r="G8" s="1"/>
      <c r="H8" s="136">
        <v>36240</v>
      </c>
      <c r="I8" s="53" t="s">
        <v>326</v>
      </c>
      <c r="J8" s="124">
        <v>44420</v>
      </c>
      <c r="K8" s="118" t="s">
        <v>359</v>
      </c>
      <c r="L8" s="118" t="s">
        <v>359</v>
      </c>
      <c r="M8" s="84" t="s">
        <v>402</v>
      </c>
      <c r="N8" s="153" t="s">
        <v>411</v>
      </c>
      <c r="O8" s="1"/>
      <c r="P8" s="1"/>
      <c r="Q8" s="109" t="s">
        <v>425</v>
      </c>
      <c r="R8" s="1"/>
      <c r="S8" s="1"/>
      <c r="T8" s="1"/>
      <c r="U8" s="1"/>
      <c r="V8" s="3" t="s">
        <v>444</v>
      </c>
      <c r="W8" s="3" t="s">
        <v>444</v>
      </c>
      <c r="X8" s="3" t="s">
        <v>444</v>
      </c>
      <c r="Y8" s="3" t="s">
        <v>444</v>
      </c>
      <c r="Z8" s="3" t="s">
        <v>444</v>
      </c>
      <c r="AA8" s="3" t="s">
        <v>444</v>
      </c>
      <c r="AB8" s="1"/>
      <c r="AC8" s="1"/>
      <c r="AD8" s="1"/>
      <c r="AE8" s="1"/>
      <c r="AF8" s="1"/>
      <c r="AG8" s="1"/>
      <c r="AH8" s="1"/>
    </row>
    <row r="9" spans="1:34" ht="15.75">
      <c r="A9" s="3">
        <f t="shared" si="0"/>
        <v>6</v>
      </c>
      <c r="B9" s="1" t="s">
        <v>278</v>
      </c>
      <c r="C9" s="124">
        <v>44858</v>
      </c>
      <c r="D9" s="53" t="s">
        <v>305</v>
      </c>
      <c r="E9" s="1"/>
      <c r="F9" s="53" t="s">
        <v>307</v>
      </c>
      <c r="G9" s="1"/>
      <c r="H9" s="136" t="s">
        <v>310</v>
      </c>
      <c r="I9" s="53" t="s">
        <v>327</v>
      </c>
      <c r="J9" s="138" t="s">
        <v>343</v>
      </c>
      <c r="K9" s="57" t="s">
        <v>360</v>
      </c>
      <c r="L9" s="57" t="s">
        <v>377</v>
      </c>
      <c r="M9" s="84" t="s">
        <v>403</v>
      </c>
      <c r="N9" s="154" t="s">
        <v>412</v>
      </c>
      <c r="O9" s="1"/>
      <c r="P9" s="1"/>
      <c r="Q9" s="53" t="s">
        <v>426</v>
      </c>
      <c r="R9" s="1"/>
      <c r="S9" s="1"/>
      <c r="T9" s="1"/>
      <c r="U9" s="1"/>
      <c r="V9" s="3" t="s">
        <v>444</v>
      </c>
      <c r="W9" s="3" t="s">
        <v>444</v>
      </c>
      <c r="X9" s="3" t="s">
        <v>444</v>
      </c>
      <c r="Y9" s="3" t="s">
        <v>444</v>
      </c>
      <c r="Z9" s="3" t="s">
        <v>444</v>
      </c>
      <c r="AA9" s="3" t="s">
        <v>444</v>
      </c>
      <c r="AB9" s="1"/>
      <c r="AC9" s="1"/>
      <c r="AD9" s="1"/>
      <c r="AE9" s="1"/>
      <c r="AF9" s="1"/>
      <c r="AG9" s="1"/>
      <c r="AH9" s="1"/>
    </row>
    <row r="10" spans="1:34" ht="15.75">
      <c r="A10" s="3">
        <f t="shared" si="0"/>
        <v>7</v>
      </c>
      <c r="B10" s="121" t="s">
        <v>279</v>
      </c>
      <c r="C10" s="125">
        <v>44830</v>
      </c>
      <c r="D10" s="90" t="s">
        <v>132</v>
      </c>
      <c r="E10" s="1"/>
      <c r="F10" s="92" t="s">
        <v>134</v>
      </c>
      <c r="G10" s="1"/>
      <c r="H10" s="85" t="s">
        <v>311</v>
      </c>
      <c r="I10" s="142" t="s">
        <v>328</v>
      </c>
      <c r="J10" s="128" t="s">
        <v>344</v>
      </c>
      <c r="K10" s="118" t="s">
        <v>361</v>
      </c>
      <c r="L10" s="118" t="s">
        <v>378</v>
      </c>
      <c r="M10" s="142" t="s">
        <v>404</v>
      </c>
      <c r="N10" s="155" t="s">
        <v>413</v>
      </c>
      <c r="O10" s="1"/>
      <c r="P10" s="1" t="s">
        <v>429</v>
      </c>
      <c r="Q10" s="142" t="s">
        <v>433</v>
      </c>
      <c r="R10" s="1"/>
      <c r="S10" s="1"/>
      <c r="T10" s="1"/>
      <c r="U10" s="1"/>
      <c r="V10" s="3" t="s">
        <v>444</v>
      </c>
      <c r="W10" s="3" t="s">
        <v>444</v>
      </c>
      <c r="X10" s="3" t="s">
        <v>444</v>
      </c>
      <c r="Y10" s="3" t="s">
        <v>444</v>
      </c>
      <c r="Z10" s="3" t="s">
        <v>444</v>
      </c>
      <c r="AA10" s="3" t="s">
        <v>444</v>
      </c>
      <c r="AB10" s="1"/>
      <c r="AC10" s="1"/>
      <c r="AD10" s="1"/>
      <c r="AE10" s="1"/>
      <c r="AF10" s="1"/>
      <c r="AG10" s="1"/>
      <c r="AH10" s="1"/>
    </row>
    <row r="11" spans="1:34" ht="15.75">
      <c r="A11" s="3">
        <f t="shared" si="0"/>
        <v>8</v>
      </c>
      <c r="B11" s="1" t="s">
        <v>280</v>
      </c>
      <c r="C11" s="126">
        <v>45355</v>
      </c>
      <c r="D11" s="90" t="s">
        <v>132</v>
      </c>
      <c r="E11" s="1"/>
      <c r="F11" s="92" t="s">
        <v>134</v>
      </c>
      <c r="G11" s="1"/>
      <c r="H11" s="137" t="s">
        <v>312</v>
      </c>
      <c r="I11" s="143" t="s">
        <v>329</v>
      </c>
      <c r="J11" s="143" t="s">
        <v>345</v>
      </c>
      <c r="K11" s="147" t="s">
        <v>362</v>
      </c>
      <c r="L11" s="147" t="s">
        <v>379</v>
      </c>
      <c r="M11" s="143" t="s">
        <v>391</v>
      </c>
      <c r="N11" s="156" t="s">
        <v>414</v>
      </c>
      <c r="O11" s="1"/>
      <c r="P11" s="1" t="s">
        <v>428</v>
      </c>
      <c r="Q11" s="161" t="s">
        <v>434</v>
      </c>
      <c r="R11" s="1"/>
      <c r="S11" s="1"/>
      <c r="T11" s="1"/>
      <c r="U11" s="1"/>
      <c r="V11" s="3" t="s">
        <v>444</v>
      </c>
      <c r="W11" s="3" t="s">
        <v>444</v>
      </c>
      <c r="X11" s="3" t="s">
        <v>444</v>
      </c>
      <c r="Y11" s="3" t="s">
        <v>444</v>
      </c>
      <c r="Z11" s="3" t="s">
        <v>444</v>
      </c>
      <c r="AA11" s="3" t="s">
        <v>444</v>
      </c>
      <c r="AB11" s="1"/>
      <c r="AC11" s="1"/>
      <c r="AD11" s="1"/>
      <c r="AE11" s="1"/>
      <c r="AF11" s="1"/>
      <c r="AG11" s="1"/>
      <c r="AH11" s="1"/>
    </row>
    <row r="12" spans="1:34" ht="15.75">
      <c r="A12" s="3">
        <f t="shared" si="0"/>
        <v>9</v>
      </c>
      <c r="B12" s="1" t="s">
        <v>281</v>
      </c>
      <c r="C12" s="127" t="s">
        <v>292</v>
      </c>
      <c r="D12" s="90" t="s">
        <v>132</v>
      </c>
      <c r="E12" s="1"/>
      <c r="F12" s="92" t="s">
        <v>134</v>
      </c>
      <c r="G12" s="1"/>
      <c r="H12" s="138" t="s">
        <v>312</v>
      </c>
      <c r="I12" s="109" t="s">
        <v>330</v>
      </c>
      <c r="J12" s="138" t="s">
        <v>346</v>
      </c>
      <c r="K12" s="119" t="s">
        <v>363</v>
      </c>
      <c r="L12" s="119" t="s">
        <v>380</v>
      </c>
      <c r="M12" s="109" t="s">
        <v>392</v>
      </c>
      <c r="N12" s="157" t="s">
        <v>415</v>
      </c>
      <c r="O12" s="1"/>
      <c r="P12" s="1" t="s">
        <v>101</v>
      </c>
      <c r="Q12" s="109" t="s">
        <v>435</v>
      </c>
      <c r="R12" s="1"/>
      <c r="S12" s="1"/>
      <c r="T12" s="1"/>
      <c r="U12" s="1"/>
      <c r="V12" s="3" t="s">
        <v>444</v>
      </c>
      <c r="W12" s="3" t="s">
        <v>444</v>
      </c>
      <c r="X12" s="3" t="s">
        <v>444</v>
      </c>
      <c r="Y12" s="3" t="s">
        <v>444</v>
      </c>
      <c r="Z12" s="3" t="s">
        <v>444</v>
      </c>
      <c r="AA12" s="3" t="s">
        <v>444</v>
      </c>
      <c r="AB12" s="1"/>
      <c r="AC12" s="1"/>
      <c r="AD12" s="1"/>
      <c r="AE12" s="1"/>
      <c r="AF12" s="1"/>
      <c r="AG12" s="1"/>
      <c r="AH12" s="1"/>
    </row>
    <row r="13" spans="1:34" ht="15.75">
      <c r="A13" s="3">
        <f t="shared" si="0"/>
        <v>10</v>
      </c>
      <c r="B13" s="1" t="s">
        <v>282</v>
      </c>
      <c r="C13" s="109" t="s">
        <v>295</v>
      </c>
      <c r="D13" s="129" t="s">
        <v>132</v>
      </c>
      <c r="E13" s="1"/>
      <c r="F13" s="131" t="s">
        <v>134</v>
      </c>
      <c r="G13" s="1"/>
      <c r="H13" s="133" t="s">
        <v>313</v>
      </c>
      <c r="I13" s="140" t="s">
        <v>331</v>
      </c>
      <c r="J13" s="140" t="s">
        <v>347</v>
      </c>
      <c r="K13" s="146" t="s">
        <v>364</v>
      </c>
      <c r="L13" s="148" t="s">
        <v>381</v>
      </c>
      <c r="M13" s="140" t="s">
        <v>405</v>
      </c>
      <c r="N13" s="151" t="s">
        <v>416</v>
      </c>
      <c r="O13" s="1"/>
      <c r="P13" s="1" t="s">
        <v>427</v>
      </c>
      <c r="Q13" s="159" t="s">
        <v>436</v>
      </c>
      <c r="R13" s="1"/>
      <c r="S13" s="1"/>
      <c r="T13" s="1"/>
      <c r="U13" s="1"/>
      <c r="V13" s="3" t="s">
        <v>444</v>
      </c>
      <c r="W13" s="3" t="s">
        <v>444</v>
      </c>
      <c r="X13" s="3" t="s">
        <v>444</v>
      </c>
      <c r="Y13" s="3" t="s">
        <v>444</v>
      </c>
      <c r="Z13" s="3" t="s">
        <v>444</v>
      </c>
      <c r="AA13" s="3" t="s">
        <v>444</v>
      </c>
      <c r="AB13" s="1"/>
      <c r="AC13" s="1"/>
      <c r="AD13" s="1"/>
      <c r="AE13" s="1"/>
      <c r="AF13" s="1"/>
      <c r="AG13" s="1"/>
      <c r="AH13" s="1"/>
    </row>
    <row r="14" spans="1:34" ht="15.75">
      <c r="A14" s="3">
        <f t="shared" si="0"/>
        <v>11</v>
      </c>
      <c r="B14" s="1" t="s">
        <v>283</v>
      </c>
      <c r="C14" s="122" t="s">
        <v>296</v>
      </c>
      <c r="D14" s="90" t="s">
        <v>132</v>
      </c>
      <c r="E14" s="1"/>
      <c r="F14" s="92" t="s">
        <v>134</v>
      </c>
      <c r="G14" s="1"/>
      <c r="H14" s="94" t="s">
        <v>314</v>
      </c>
      <c r="I14" s="68" t="s">
        <v>332</v>
      </c>
      <c r="J14" s="94" t="s">
        <v>348</v>
      </c>
      <c r="K14" s="100" t="s">
        <v>365</v>
      </c>
      <c r="L14" s="66" t="s">
        <v>382</v>
      </c>
      <c r="M14" s="68" t="s">
        <v>393</v>
      </c>
      <c r="N14" s="103" t="s">
        <v>417</v>
      </c>
      <c r="O14" s="1"/>
      <c r="P14" s="1" t="s">
        <v>234</v>
      </c>
      <c r="Q14" s="68" t="s">
        <v>437</v>
      </c>
      <c r="R14" s="1"/>
      <c r="S14" s="1"/>
      <c r="T14" s="1"/>
      <c r="U14" s="1"/>
      <c r="V14" s="3" t="s">
        <v>444</v>
      </c>
      <c r="W14" s="3" t="s">
        <v>444</v>
      </c>
      <c r="X14" s="3" t="s">
        <v>444</v>
      </c>
      <c r="Y14" s="3" t="s">
        <v>444</v>
      </c>
      <c r="Z14" s="3" t="s">
        <v>444</v>
      </c>
      <c r="AA14" s="3" t="s">
        <v>444</v>
      </c>
      <c r="AB14" s="1"/>
      <c r="AC14" s="1"/>
      <c r="AD14" s="1"/>
      <c r="AE14" s="1"/>
      <c r="AF14" s="1"/>
      <c r="AG14" s="1"/>
      <c r="AH14" s="1"/>
    </row>
    <row r="15" spans="1:34" ht="15.75">
      <c r="A15" s="3">
        <f t="shared" si="0"/>
        <v>12</v>
      </c>
      <c r="B15" s="1" t="s">
        <v>284</v>
      </c>
      <c r="C15" s="68" t="s">
        <v>297</v>
      </c>
      <c r="D15" s="90" t="s">
        <v>132</v>
      </c>
      <c r="E15" s="1"/>
      <c r="F15" s="92" t="s">
        <v>134</v>
      </c>
      <c r="G15" s="1"/>
      <c r="H15" s="139" t="s">
        <v>315</v>
      </c>
      <c r="I15" s="144" t="s">
        <v>333</v>
      </c>
      <c r="J15" s="144" t="s">
        <v>349</v>
      </c>
      <c r="K15" s="120" t="s">
        <v>366</v>
      </c>
      <c r="L15" s="120" t="s">
        <v>383</v>
      </c>
      <c r="M15" s="144" t="s">
        <v>406</v>
      </c>
      <c r="N15" s="158" t="s">
        <v>418</v>
      </c>
      <c r="O15" s="1"/>
      <c r="P15" s="1" t="s">
        <v>101</v>
      </c>
      <c r="Q15" s="142" t="s">
        <v>438</v>
      </c>
      <c r="R15" s="1"/>
      <c r="S15" s="1"/>
      <c r="T15" s="1"/>
      <c r="U15" s="1"/>
      <c r="V15" s="3" t="s">
        <v>444</v>
      </c>
      <c r="W15" s="3" t="s">
        <v>444</v>
      </c>
      <c r="X15" s="3" t="s">
        <v>444</v>
      </c>
      <c r="Y15" s="3" t="s">
        <v>444</v>
      </c>
      <c r="Z15" s="3" t="s">
        <v>444</v>
      </c>
      <c r="AA15" s="3" t="s">
        <v>444</v>
      </c>
      <c r="AB15" s="1"/>
      <c r="AC15" s="1"/>
      <c r="AD15" s="1"/>
      <c r="AE15" s="1"/>
      <c r="AF15" s="1"/>
      <c r="AG15" s="1"/>
      <c r="AH15" s="1"/>
    </row>
    <row r="16" spans="1:34" ht="15.75">
      <c r="A16" s="3">
        <f t="shared" si="0"/>
        <v>13</v>
      </c>
      <c r="B16" s="1" t="s">
        <v>285</v>
      </c>
      <c r="C16" s="128" t="s">
        <v>298</v>
      </c>
      <c r="D16" s="129" t="s">
        <v>132</v>
      </c>
      <c r="E16" s="1"/>
      <c r="F16" s="131" t="s">
        <v>134</v>
      </c>
      <c r="G16" s="1"/>
      <c r="H16" s="133" t="s">
        <v>316</v>
      </c>
      <c r="I16" s="140" t="s">
        <v>334</v>
      </c>
      <c r="J16" s="140" t="s">
        <v>350</v>
      </c>
      <c r="K16" s="146" t="s">
        <v>367</v>
      </c>
      <c r="L16" s="146" t="s">
        <v>367</v>
      </c>
      <c r="M16" s="140" t="s">
        <v>394</v>
      </c>
      <c r="N16" s="151" t="s">
        <v>419</v>
      </c>
      <c r="O16" s="1"/>
      <c r="P16" s="1" t="s">
        <v>101</v>
      </c>
      <c r="Q16" s="159" t="s">
        <v>439</v>
      </c>
      <c r="R16" s="1"/>
      <c r="S16" s="1"/>
      <c r="T16" s="1"/>
      <c r="U16" s="1"/>
      <c r="V16" s="3" t="s">
        <v>444</v>
      </c>
      <c r="W16" s="3" t="s">
        <v>444</v>
      </c>
      <c r="X16" s="3" t="s">
        <v>444</v>
      </c>
      <c r="Y16" s="3" t="s">
        <v>444</v>
      </c>
      <c r="Z16" s="3" t="s">
        <v>444</v>
      </c>
      <c r="AA16" s="3" t="s">
        <v>444</v>
      </c>
      <c r="AB16" s="1"/>
      <c r="AC16" s="1"/>
      <c r="AD16" s="1"/>
      <c r="AE16" s="1"/>
      <c r="AF16" s="1"/>
      <c r="AG16" s="1"/>
      <c r="AH16" s="1"/>
    </row>
    <row r="17" spans="1:34" ht="15.75">
      <c r="A17" s="3">
        <f t="shared" si="0"/>
        <v>14</v>
      </c>
      <c r="B17" s="1" t="s">
        <v>286</v>
      </c>
      <c r="C17" s="122" t="s">
        <v>299</v>
      </c>
      <c r="D17" s="129" t="s">
        <v>132</v>
      </c>
      <c r="E17" s="1"/>
      <c r="F17" s="131" t="s">
        <v>134</v>
      </c>
      <c r="G17" s="1"/>
      <c r="H17" s="133" t="s">
        <v>317</v>
      </c>
      <c r="I17" s="140" t="s">
        <v>335</v>
      </c>
      <c r="J17" s="140" t="s">
        <v>351</v>
      </c>
      <c r="K17" s="146" t="s">
        <v>368</v>
      </c>
      <c r="L17" s="146" t="s">
        <v>384</v>
      </c>
      <c r="M17" s="140" t="s">
        <v>395</v>
      </c>
      <c r="N17" s="151" t="s">
        <v>420</v>
      </c>
      <c r="O17" s="1"/>
      <c r="P17" s="1" t="s">
        <v>427</v>
      </c>
      <c r="Q17" s="159" t="s">
        <v>440</v>
      </c>
      <c r="R17" s="1"/>
      <c r="S17" s="1"/>
      <c r="T17" s="1"/>
      <c r="U17" s="1"/>
      <c r="V17" s="3" t="s">
        <v>444</v>
      </c>
      <c r="W17" s="3" t="s">
        <v>444</v>
      </c>
      <c r="X17" s="3" t="s">
        <v>444</v>
      </c>
      <c r="Y17" s="3" t="s">
        <v>444</v>
      </c>
      <c r="Z17" s="3" t="s">
        <v>444</v>
      </c>
      <c r="AA17" s="3" t="s">
        <v>444</v>
      </c>
      <c r="AB17" s="1"/>
      <c r="AC17" s="1"/>
      <c r="AD17" s="1"/>
      <c r="AE17" s="1"/>
      <c r="AF17" s="1"/>
      <c r="AG17" s="1"/>
      <c r="AH17" s="1"/>
    </row>
    <row r="18" spans="1:34" ht="15.75">
      <c r="A18" s="3">
        <f t="shared" si="0"/>
        <v>15</v>
      </c>
      <c r="B18" s="1" t="s">
        <v>287</v>
      </c>
      <c r="C18" s="122" t="s">
        <v>300</v>
      </c>
      <c r="D18" s="90" t="s">
        <v>132</v>
      </c>
      <c r="E18" s="1"/>
      <c r="F18" s="92" t="s">
        <v>134</v>
      </c>
      <c r="G18" s="1"/>
      <c r="H18" s="94" t="s">
        <v>318</v>
      </c>
      <c r="I18" s="68" t="s">
        <v>336</v>
      </c>
      <c r="J18" s="94" t="s">
        <v>352</v>
      </c>
      <c r="K18" s="100" t="s">
        <v>369</v>
      </c>
      <c r="L18" s="66" t="s">
        <v>385</v>
      </c>
      <c r="M18" s="68" t="s">
        <v>396</v>
      </c>
      <c r="N18" s="103" t="s">
        <v>421</v>
      </c>
      <c r="O18" s="1"/>
      <c r="P18" s="1" t="s">
        <v>429</v>
      </c>
      <c r="Q18" s="68" t="s">
        <v>441</v>
      </c>
      <c r="R18" s="1"/>
      <c r="S18" s="1"/>
      <c r="T18" s="1"/>
      <c r="U18" s="1"/>
      <c r="V18" s="3" t="s">
        <v>444</v>
      </c>
      <c r="W18" s="3" t="s">
        <v>444</v>
      </c>
      <c r="X18" s="3" t="s">
        <v>444</v>
      </c>
      <c r="Y18" s="3" t="s">
        <v>444</v>
      </c>
      <c r="Z18" s="3" t="s">
        <v>444</v>
      </c>
      <c r="AA18" s="3" t="s">
        <v>444</v>
      </c>
      <c r="AB18" s="1"/>
      <c r="AC18" s="1"/>
      <c r="AD18" s="1"/>
      <c r="AE18" s="1"/>
      <c r="AF18" s="1"/>
      <c r="AG18" s="1"/>
      <c r="AH18" s="1"/>
    </row>
    <row r="19" spans="1:34" ht="15.75">
      <c r="A19" s="3">
        <f t="shared" si="0"/>
        <v>16</v>
      </c>
      <c r="B19" s="1" t="s">
        <v>288</v>
      </c>
      <c r="C19" s="68" t="s">
        <v>301</v>
      </c>
      <c r="D19" s="90" t="s">
        <v>132</v>
      </c>
      <c r="E19" s="1"/>
      <c r="F19" s="92" t="s">
        <v>134</v>
      </c>
      <c r="G19" s="1"/>
      <c r="H19" s="94" t="s">
        <v>319</v>
      </c>
      <c r="I19" s="68" t="s">
        <v>337</v>
      </c>
      <c r="J19" s="94" t="s">
        <v>171</v>
      </c>
      <c r="K19" s="100" t="s">
        <v>370</v>
      </c>
      <c r="L19" s="66" t="s">
        <v>386</v>
      </c>
      <c r="M19" s="68" t="s">
        <v>397</v>
      </c>
      <c r="N19" s="103" t="s">
        <v>422</v>
      </c>
      <c r="O19" s="1"/>
      <c r="P19" s="1" t="s">
        <v>428</v>
      </c>
      <c r="Q19" s="68" t="s">
        <v>442</v>
      </c>
      <c r="R19" s="1"/>
      <c r="S19" s="1"/>
      <c r="T19" s="1"/>
      <c r="U19" s="1"/>
      <c r="V19" s="3" t="s">
        <v>444</v>
      </c>
      <c r="W19" s="3" t="s">
        <v>444</v>
      </c>
      <c r="X19" s="3" t="s">
        <v>444</v>
      </c>
      <c r="Y19" s="3" t="s">
        <v>444</v>
      </c>
      <c r="Z19" s="3" t="s">
        <v>444</v>
      </c>
      <c r="AA19" s="3" t="s">
        <v>444</v>
      </c>
      <c r="AB19" s="1"/>
      <c r="AC19" s="1"/>
      <c r="AD19" s="1"/>
      <c r="AE19" s="1"/>
      <c r="AF19" s="1"/>
      <c r="AG19" s="1"/>
      <c r="AH19" s="1"/>
    </row>
    <row r="20" spans="1:34" ht="15.75">
      <c r="A20" s="3">
        <f t="shared" si="0"/>
        <v>17</v>
      </c>
      <c r="B20" s="1" t="s">
        <v>289</v>
      </c>
      <c r="C20" s="68" t="s">
        <v>302</v>
      </c>
      <c r="D20" s="90" t="s">
        <v>133</v>
      </c>
      <c r="E20" s="1"/>
      <c r="F20" s="92" t="s">
        <v>134</v>
      </c>
      <c r="G20" s="1"/>
      <c r="H20" s="94" t="s">
        <v>320</v>
      </c>
      <c r="I20" s="68" t="s">
        <v>338</v>
      </c>
      <c r="J20" s="94" t="s">
        <v>353</v>
      </c>
      <c r="K20" s="100" t="s">
        <v>371</v>
      </c>
      <c r="L20" s="66" t="s">
        <v>387</v>
      </c>
      <c r="M20" s="68" t="s">
        <v>398</v>
      </c>
      <c r="N20" s="104" t="s">
        <v>423</v>
      </c>
      <c r="O20" s="1"/>
      <c r="P20" s="1" t="s">
        <v>101</v>
      </c>
      <c r="Q20" s="68" t="s">
        <v>443</v>
      </c>
      <c r="R20" s="1"/>
      <c r="S20" s="1"/>
      <c r="T20" s="1"/>
      <c r="U20" s="1"/>
      <c r="V20" s="3" t="s">
        <v>444</v>
      </c>
      <c r="W20" s="3" t="s">
        <v>444</v>
      </c>
      <c r="X20" s="3" t="s">
        <v>444</v>
      </c>
      <c r="Y20" s="3" t="s">
        <v>444</v>
      </c>
      <c r="Z20" s="3" t="s">
        <v>444</v>
      </c>
      <c r="AA20" s="3" t="s">
        <v>444</v>
      </c>
      <c r="AB20" s="1"/>
      <c r="AC20" s="1"/>
      <c r="AD20" s="1"/>
      <c r="AE20" s="1"/>
      <c r="AF20" s="1"/>
      <c r="AG20" s="1"/>
      <c r="AH20" s="1"/>
    </row>
    <row r="21" spans="1:34" ht="15.75">
      <c r="A21" s="3">
        <f t="shared" si="0"/>
        <v>18</v>
      </c>
      <c r="B21" s="1" t="s">
        <v>290</v>
      </c>
      <c r="C21" s="68" t="s">
        <v>303</v>
      </c>
      <c r="D21" s="90" t="s">
        <v>133</v>
      </c>
      <c r="E21" s="1"/>
      <c r="F21" s="92" t="s">
        <v>134</v>
      </c>
      <c r="G21" s="1"/>
      <c r="H21" s="94" t="s">
        <v>321</v>
      </c>
      <c r="I21" s="68" t="s">
        <v>339</v>
      </c>
      <c r="J21" s="94" t="s">
        <v>354</v>
      </c>
      <c r="K21" s="100" t="s">
        <v>372</v>
      </c>
      <c r="L21" s="66" t="s">
        <v>388</v>
      </c>
      <c r="M21" s="68" t="s">
        <v>399</v>
      </c>
      <c r="N21" s="104" t="s">
        <v>424</v>
      </c>
      <c r="O21" s="1"/>
      <c r="P21" s="1"/>
      <c r="Q21" s="68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.75">
      <c r="A22" s="3">
        <f t="shared" si="0"/>
        <v>19</v>
      </c>
      <c r="B22" s="1" t="s">
        <v>291</v>
      </c>
      <c r="C22" s="68" t="s">
        <v>124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</sheetData>
  <mergeCells count="13">
    <mergeCell ref="V2:AB2"/>
    <mergeCell ref="AC2:AE2"/>
    <mergeCell ref="AF2:AH2"/>
    <mergeCell ref="H2:N2"/>
    <mergeCell ref="O2:R2"/>
    <mergeCell ref="S2:U2"/>
    <mergeCell ref="B2:B3"/>
    <mergeCell ref="A2:A3"/>
    <mergeCell ref="F2:F3"/>
    <mergeCell ref="G2:G3"/>
    <mergeCell ref="E2:E3"/>
    <mergeCell ref="D2:D3"/>
    <mergeCell ref="C2:C3"/>
  </mergeCells>
  <hyperlinks>
    <hyperlink ref="N4" r:id="rId1" xr:uid="{B6B5C176-8B71-4C0F-9D6F-FCBAF0643F43}"/>
    <hyperlink ref="N5" r:id="rId2" xr:uid="{1A231403-6F59-4E91-9C67-1FC401EFF97A}"/>
    <hyperlink ref="N7" r:id="rId3" xr:uid="{BA1525A7-3A2F-4D79-89A4-3D3128EEEDB8}"/>
    <hyperlink ref="N6" r:id="rId4" xr:uid="{D8E04B0A-A6ED-4F88-845F-03FCAC9E2C2D}"/>
    <hyperlink ref="N9" r:id="rId5" xr:uid="{DC7AF671-AD5C-41B1-B456-8921E5F5BE58}"/>
    <hyperlink ref="N10" r:id="rId6" xr:uid="{96317E68-AB3A-4A18-B665-34A007C8D7A7}"/>
    <hyperlink ref="N11" r:id="rId7" xr:uid="{9EB544CB-A2AC-4A02-9E1F-6B70A2025EC5}"/>
    <hyperlink ref="N12" r:id="rId8" xr:uid="{A6C5EAD4-AEEB-4C2D-99D5-81C2C815565F}"/>
    <hyperlink ref="N13" r:id="rId9" xr:uid="{57F1B126-8D08-40EC-81F9-DAE6B2564C37}"/>
    <hyperlink ref="N14" r:id="rId10" xr:uid="{30BA0C7A-15D1-443E-9C49-70952868B2C2}"/>
    <hyperlink ref="N15" r:id="rId11" xr:uid="{25AAAE2D-1DE6-4C54-87FE-D0776454A5E4}"/>
    <hyperlink ref="N16" r:id="rId12" xr:uid="{226C3C7F-62BA-47BC-B98F-3ABFDC844FEF}"/>
    <hyperlink ref="N17" r:id="rId13" xr:uid="{41C20DBD-13E7-44D6-8EF8-A8FC0B86896B}"/>
    <hyperlink ref="N18" r:id="rId14" xr:uid="{ACACCF24-4D0F-4F52-B93A-ABD27F59B610}"/>
    <hyperlink ref="N19" r:id="rId15" xr:uid="{2F68A0BA-7008-4752-A6FB-288351247204}"/>
    <hyperlink ref="N21" r:id="rId16" xr:uid="{2FADFE1F-99E6-4F74-A430-52D1467CA4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PHỎNG VẤN</vt:lpstr>
      <vt:lpstr>NHÂN VIÊN</vt:lpstr>
      <vt:lpstr>NGHỈ VIỆC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Vietstargroup</dc:creator>
  <cp:lastModifiedBy>Vietstargroup</cp:lastModifiedBy>
  <dcterms:created xsi:type="dcterms:W3CDTF">2025-02-27T08:56:12Z</dcterms:created>
  <dcterms:modified xsi:type="dcterms:W3CDTF">2025-12-31T04:17:08Z</dcterms:modified>
</cp:coreProperties>
</file>